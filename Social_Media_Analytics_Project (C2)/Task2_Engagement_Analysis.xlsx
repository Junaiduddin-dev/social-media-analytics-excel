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770aaa4e78a79f/Desktop/Social_Media_Analytics_Project (C2)/"/>
    </mc:Choice>
  </mc:AlternateContent>
  <xr:revisionPtr revIDLastSave="54" documentId="8_{9DD6D191-9926-4708-B9ED-F4FB22710EB0}" xr6:coauthVersionLast="47" xr6:coauthVersionMax="47" xr10:uidLastSave="{CBB49B09-BA6D-45D7-99C5-40ED36FC5DAD}"/>
  <bookViews>
    <workbookView xWindow="-108" yWindow="-108" windowWidth="23256" windowHeight="12456" xr2:uid="{6025C401-DA74-4BD7-8472-6220DA448C46}"/>
  </bookViews>
  <sheets>
    <sheet name="Engagement Summary" sheetId="5" r:id="rId1"/>
    <sheet name="Top 10 posts" sheetId="2" r:id="rId2"/>
    <sheet name="Engagement by Platform&amp;Content" sheetId="3" r:id="rId3"/>
    <sheet name="Average Clicks per Hashtag" sheetId="4" r:id="rId4"/>
  </sheets>
  <calcPr calcId="191029"/>
  <pivotCaches>
    <pivotCache cacheId="1" r:id="rId5"/>
    <pivotCache cacheId="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5" l="1"/>
  <c r="K201" i="5" l="1"/>
  <c r="J201" i="5"/>
  <c r="I201" i="5"/>
  <c r="H201" i="5"/>
  <c r="K200" i="5"/>
  <c r="J200" i="5"/>
  <c r="I200" i="5"/>
  <c r="H200" i="5"/>
  <c r="K199" i="5"/>
  <c r="J199" i="5"/>
  <c r="I199" i="5"/>
  <c r="H199" i="5"/>
  <c r="K198" i="5"/>
  <c r="J198" i="5"/>
  <c r="I198" i="5"/>
  <c r="H198" i="5"/>
  <c r="K197" i="5"/>
  <c r="J197" i="5"/>
  <c r="I197" i="5"/>
  <c r="H197" i="5"/>
  <c r="K196" i="5"/>
  <c r="J196" i="5"/>
  <c r="I196" i="5"/>
  <c r="H196" i="5"/>
  <c r="K195" i="5"/>
  <c r="J195" i="5"/>
  <c r="I195" i="5"/>
  <c r="H195" i="5"/>
  <c r="K194" i="5"/>
  <c r="J194" i="5"/>
  <c r="I194" i="5"/>
  <c r="H194" i="5"/>
  <c r="K193" i="5"/>
  <c r="J193" i="5"/>
  <c r="I193" i="5"/>
  <c r="H193" i="5"/>
  <c r="K192" i="5"/>
  <c r="J192" i="5"/>
  <c r="I192" i="5"/>
  <c r="H192" i="5"/>
  <c r="K191" i="5"/>
  <c r="J191" i="5"/>
  <c r="I191" i="5"/>
  <c r="H191" i="5"/>
  <c r="K190" i="5"/>
  <c r="J190" i="5"/>
  <c r="I190" i="5"/>
  <c r="H190" i="5"/>
  <c r="K189" i="5"/>
  <c r="J189" i="5"/>
  <c r="I189" i="5"/>
  <c r="H189" i="5"/>
  <c r="K188" i="5"/>
  <c r="J188" i="5"/>
  <c r="I188" i="5"/>
  <c r="H188" i="5"/>
  <c r="K187" i="5"/>
  <c r="J187" i="5"/>
  <c r="I187" i="5"/>
  <c r="H187" i="5"/>
  <c r="K186" i="5"/>
  <c r="J186" i="5"/>
  <c r="I186" i="5"/>
  <c r="H186" i="5"/>
  <c r="K185" i="5"/>
  <c r="J185" i="5"/>
  <c r="I185" i="5"/>
  <c r="H185" i="5"/>
  <c r="K184" i="5"/>
  <c r="J184" i="5"/>
  <c r="I184" i="5"/>
  <c r="H184" i="5"/>
  <c r="K183" i="5"/>
  <c r="J183" i="5"/>
  <c r="I183" i="5"/>
  <c r="H183" i="5"/>
  <c r="K182" i="5"/>
  <c r="J182" i="5"/>
  <c r="I182" i="5"/>
  <c r="H182" i="5"/>
  <c r="K181" i="5"/>
  <c r="J181" i="5"/>
  <c r="I181" i="5"/>
  <c r="H181" i="5"/>
  <c r="K180" i="5"/>
  <c r="J180" i="5"/>
  <c r="I180" i="5"/>
  <c r="H180" i="5"/>
  <c r="K179" i="5"/>
  <c r="J179" i="5"/>
  <c r="I179" i="5"/>
  <c r="H179" i="5"/>
  <c r="K178" i="5"/>
  <c r="J178" i="5"/>
  <c r="I178" i="5"/>
  <c r="H178" i="5"/>
  <c r="K177" i="5"/>
  <c r="J177" i="5"/>
  <c r="I177" i="5"/>
  <c r="H177" i="5"/>
  <c r="K176" i="5"/>
  <c r="J176" i="5"/>
  <c r="I176" i="5"/>
  <c r="H176" i="5"/>
  <c r="K175" i="5"/>
  <c r="J175" i="5"/>
  <c r="I175" i="5"/>
  <c r="H175" i="5"/>
  <c r="K174" i="5"/>
  <c r="J174" i="5"/>
  <c r="I174" i="5"/>
  <c r="H174" i="5"/>
  <c r="K173" i="5"/>
  <c r="J173" i="5"/>
  <c r="I173" i="5"/>
  <c r="H173" i="5"/>
  <c r="K172" i="5"/>
  <c r="J172" i="5"/>
  <c r="I172" i="5"/>
  <c r="H172" i="5"/>
  <c r="K171" i="5"/>
  <c r="J171" i="5"/>
  <c r="I171" i="5"/>
  <c r="H171" i="5"/>
  <c r="K170" i="5"/>
  <c r="J170" i="5"/>
  <c r="I170" i="5"/>
  <c r="H170" i="5"/>
  <c r="K169" i="5"/>
  <c r="J169" i="5"/>
  <c r="I169" i="5"/>
  <c r="H169" i="5"/>
  <c r="K168" i="5"/>
  <c r="J168" i="5"/>
  <c r="I168" i="5"/>
  <c r="H168" i="5"/>
  <c r="K167" i="5"/>
  <c r="J167" i="5"/>
  <c r="I167" i="5"/>
  <c r="H167" i="5"/>
  <c r="K166" i="5"/>
  <c r="J166" i="5"/>
  <c r="I166" i="5"/>
  <c r="H166" i="5"/>
  <c r="K165" i="5"/>
  <c r="J165" i="5"/>
  <c r="I165" i="5"/>
  <c r="H165" i="5"/>
  <c r="K164" i="5"/>
  <c r="J164" i="5"/>
  <c r="I164" i="5"/>
  <c r="H164" i="5"/>
  <c r="K163" i="5"/>
  <c r="J163" i="5"/>
  <c r="I163" i="5"/>
  <c r="H163" i="5"/>
  <c r="K162" i="5"/>
  <c r="J162" i="5"/>
  <c r="I162" i="5"/>
  <c r="H162" i="5"/>
  <c r="K161" i="5"/>
  <c r="J161" i="5"/>
  <c r="I161" i="5"/>
  <c r="H161" i="5"/>
  <c r="K160" i="5"/>
  <c r="J160" i="5"/>
  <c r="I160" i="5"/>
  <c r="H160" i="5"/>
  <c r="K159" i="5"/>
  <c r="J159" i="5"/>
  <c r="I159" i="5"/>
  <c r="H159" i="5"/>
  <c r="K158" i="5"/>
  <c r="J158" i="5"/>
  <c r="I158" i="5"/>
  <c r="H158" i="5"/>
  <c r="K157" i="5"/>
  <c r="J157" i="5"/>
  <c r="I157" i="5"/>
  <c r="H157" i="5"/>
  <c r="K156" i="5"/>
  <c r="J156" i="5"/>
  <c r="I156" i="5"/>
  <c r="H156" i="5"/>
  <c r="K155" i="5"/>
  <c r="J155" i="5"/>
  <c r="I155" i="5"/>
  <c r="H155" i="5"/>
  <c r="K154" i="5"/>
  <c r="J154" i="5"/>
  <c r="I154" i="5"/>
  <c r="H154" i="5"/>
  <c r="K153" i="5"/>
  <c r="J153" i="5"/>
  <c r="I153" i="5"/>
  <c r="H153" i="5"/>
  <c r="K152" i="5"/>
  <c r="J152" i="5"/>
  <c r="I152" i="5"/>
  <c r="H152" i="5"/>
  <c r="K151" i="5"/>
  <c r="J151" i="5"/>
  <c r="I151" i="5"/>
  <c r="H151" i="5"/>
  <c r="K150" i="5"/>
  <c r="J150" i="5"/>
  <c r="I150" i="5"/>
  <c r="H150" i="5"/>
  <c r="K149" i="5"/>
  <c r="J149" i="5"/>
  <c r="I149" i="5"/>
  <c r="H149" i="5"/>
  <c r="K148" i="5"/>
  <c r="J148" i="5"/>
  <c r="I148" i="5"/>
  <c r="H148" i="5"/>
  <c r="K147" i="5"/>
  <c r="J147" i="5"/>
  <c r="I147" i="5"/>
  <c r="H147" i="5"/>
  <c r="K146" i="5"/>
  <c r="J146" i="5"/>
  <c r="I146" i="5"/>
  <c r="H146" i="5"/>
  <c r="K145" i="5"/>
  <c r="J145" i="5"/>
  <c r="I145" i="5"/>
  <c r="H145" i="5"/>
  <c r="K144" i="5"/>
  <c r="J144" i="5"/>
  <c r="I144" i="5"/>
  <c r="H144" i="5"/>
  <c r="K143" i="5"/>
  <c r="J143" i="5"/>
  <c r="I143" i="5"/>
  <c r="H143" i="5"/>
  <c r="K142" i="5"/>
  <c r="J142" i="5"/>
  <c r="I142" i="5"/>
  <c r="H142" i="5"/>
  <c r="K141" i="5"/>
  <c r="J141" i="5"/>
  <c r="I141" i="5"/>
  <c r="H141" i="5"/>
  <c r="K140" i="5"/>
  <c r="J140" i="5"/>
  <c r="I140" i="5"/>
  <c r="H140" i="5"/>
  <c r="K139" i="5"/>
  <c r="J139" i="5"/>
  <c r="I139" i="5"/>
  <c r="H139" i="5"/>
  <c r="K138" i="5"/>
  <c r="J138" i="5"/>
  <c r="I138" i="5"/>
  <c r="H138" i="5"/>
  <c r="K137" i="5"/>
  <c r="J137" i="5"/>
  <c r="I137" i="5"/>
  <c r="H137" i="5"/>
  <c r="K136" i="5"/>
  <c r="J136" i="5"/>
  <c r="I136" i="5"/>
  <c r="H136" i="5"/>
  <c r="K135" i="5"/>
  <c r="J135" i="5"/>
  <c r="I135" i="5"/>
  <c r="H135" i="5"/>
  <c r="K134" i="5"/>
  <c r="J134" i="5"/>
  <c r="I134" i="5"/>
  <c r="H134" i="5"/>
  <c r="K133" i="5"/>
  <c r="J133" i="5"/>
  <c r="I133" i="5"/>
  <c r="H133" i="5"/>
  <c r="K132" i="5"/>
  <c r="J132" i="5"/>
  <c r="I132" i="5"/>
  <c r="H132" i="5"/>
  <c r="K131" i="5"/>
  <c r="J131" i="5"/>
  <c r="I131" i="5"/>
  <c r="H131" i="5"/>
  <c r="K130" i="5"/>
  <c r="J130" i="5"/>
  <c r="I130" i="5"/>
  <c r="H130" i="5"/>
  <c r="K129" i="5"/>
  <c r="J129" i="5"/>
  <c r="I129" i="5"/>
  <c r="H129" i="5"/>
  <c r="K128" i="5"/>
  <c r="J128" i="5"/>
  <c r="I128" i="5"/>
  <c r="H128" i="5"/>
  <c r="K127" i="5"/>
  <c r="J127" i="5"/>
  <c r="I127" i="5"/>
  <c r="H127" i="5"/>
  <c r="K126" i="5"/>
  <c r="J126" i="5"/>
  <c r="I126" i="5"/>
  <c r="H126" i="5"/>
  <c r="K125" i="5"/>
  <c r="J125" i="5"/>
  <c r="I125" i="5"/>
  <c r="H125" i="5"/>
  <c r="K124" i="5"/>
  <c r="J124" i="5"/>
  <c r="I124" i="5"/>
  <c r="H124" i="5"/>
  <c r="K123" i="5"/>
  <c r="J123" i="5"/>
  <c r="I123" i="5"/>
  <c r="H123" i="5"/>
  <c r="K122" i="5"/>
  <c r="J122" i="5"/>
  <c r="I122" i="5"/>
  <c r="H122" i="5"/>
  <c r="K121" i="5"/>
  <c r="J121" i="5"/>
  <c r="I121" i="5"/>
  <c r="H121" i="5"/>
  <c r="K120" i="5"/>
  <c r="J120" i="5"/>
  <c r="I120" i="5"/>
  <c r="H120" i="5"/>
  <c r="K119" i="5"/>
  <c r="J119" i="5"/>
  <c r="I119" i="5"/>
  <c r="H119" i="5"/>
  <c r="K118" i="5"/>
  <c r="J118" i="5"/>
  <c r="I118" i="5"/>
  <c r="H118" i="5"/>
  <c r="K117" i="5"/>
  <c r="J117" i="5"/>
  <c r="I117" i="5"/>
  <c r="H117" i="5"/>
  <c r="K116" i="5"/>
  <c r="J116" i="5"/>
  <c r="I116" i="5"/>
  <c r="H116" i="5"/>
  <c r="K115" i="5"/>
  <c r="J115" i="5"/>
  <c r="I115" i="5"/>
  <c r="H115" i="5"/>
  <c r="K114" i="5"/>
  <c r="J114" i="5"/>
  <c r="I114" i="5"/>
  <c r="H114" i="5"/>
  <c r="K113" i="5"/>
  <c r="J113" i="5"/>
  <c r="I113" i="5"/>
  <c r="H113" i="5"/>
  <c r="K112" i="5"/>
  <c r="J112" i="5"/>
  <c r="I112" i="5"/>
  <c r="H112" i="5"/>
  <c r="K111" i="5"/>
  <c r="J111" i="5"/>
  <c r="I111" i="5"/>
  <c r="H111" i="5"/>
  <c r="K110" i="5"/>
  <c r="J110" i="5"/>
  <c r="I110" i="5"/>
  <c r="H110" i="5"/>
  <c r="K109" i="5"/>
  <c r="J109" i="5"/>
  <c r="I109" i="5"/>
  <c r="H109" i="5"/>
  <c r="K108" i="5"/>
  <c r="J108" i="5"/>
  <c r="I108" i="5"/>
  <c r="H108" i="5"/>
  <c r="K107" i="5"/>
  <c r="J107" i="5"/>
  <c r="I107" i="5"/>
  <c r="H107" i="5"/>
  <c r="K106" i="5"/>
  <c r="J106" i="5"/>
  <c r="I106" i="5"/>
  <c r="H106" i="5"/>
  <c r="K105" i="5"/>
  <c r="J105" i="5"/>
  <c r="I105" i="5"/>
  <c r="H105" i="5"/>
  <c r="K104" i="5"/>
  <c r="J104" i="5"/>
  <c r="I104" i="5"/>
  <c r="H104" i="5"/>
  <c r="K103" i="5"/>
  <c r="J103" i="5"/>
  <c r="I103" i="5"/>
  <c r="H103" i="5"/>
  <c r="K102" i="5"/>
  <c r="J102" i="5"/>
  <c r="I102" i="5"/>
  <c r="H102" i="5"/>
  <c r="K101" i="5"/>
  <c r="J101" i="5"/>
  <c r="I101" i="5"/>
  <c r="H101" i="5"/>
  <c r="K100" i="5"/>
  <c r="J100" i="5"/>
  <c r="I100" i="5"/>
  <c r="H100" i="5"/>
  <c r="K99" i="5"/>
  <c r="J99" i="5"/>
  <c r="I99" i="5"/>
  <c r="H99" i="5"/>
  <c r="K98" i="5"/>
  <c r="J98" i="5"/>
  <c r="I98" i="5"/>
  <c r="H98" i="5"/>
  <c r="K97" i="5"/>
  <c r="J97" i="5"/>
  <c r="I97" i="5"/>
  <c r="H97" i="5"/>
  <c r="K96" i="5"/>
  <c r="J96" i="5"/>
  <c r="I96" i="5"/>
  <c r="H96" i="5"/>
  <c r="K95" i="5"/>
  <c r="J95" i="5"/>
  <c r="I95" i="5"/>
  <c r="H95" i="5"/>
  <c r="K94" i="5"/>
  <c r="J94" i="5"/>
  <c r="I94" i="5"/>
  <c r="H94" i="5"/>
  <c r="K93" i="5"/>
  <c r="J93" i="5"/>
  <c r="I93" i="5"/>
  <c r="H93" i="5"/>
  <c r="K92" i="5"/>
  <c r="J92" i="5"/>
  <c r="I92" i="5"/>
  <c r="H92" i="5"/>
  <c r="K91" i="5"/>
  <c r="J91" i="5"/>
  <c r="I91" i="5"/>
  <c r="H91" i="5"/>
  <c r="K90" i="5"/>
  <c r="J90" i="5"/>
  <c r="I90" i="5"/>
  <c r="H90" i="5"/>
  <c r="K89" i="5"/>
  <c r="J89" i="5"/>
  <c r="I89" i="5"/>
  <c r="H89" i="5"/>
  <c r="K88" i="5"/>
  <c r="J88" i="5"/>
  <c r="I88" i="5"/>
  <c r="H88" i="5"/>
  <c r="K87" i="5"/>
  <c r="J87" i="5"/>
  <c r="I87" i="5"/>
  <c r="H87" i="5"/>
  <c r="K86" i="5"/>
  <c r="J86" i="5"/>
  <c r="I86" i="5"/>
  <c r="H86" i="5"/>
  <c r="K85" i="5"/>
  <c r="J85" i="5"/>
  <c r="I85" i="5"/>
  <c r="H85" i="5"/>
  <c r="K84" i="5"/>
  <c r="J84" i="5"/>
  <c r="I84" i="5"/>
  <c r="H84" i="5"/>
  <c r="K83" i="5"/>
  <c r="J83" i="5"/>
  <c r="I83" i="5"/>
  <c r="H83" i="5"/>
  <c r="K82" i="5"/>
  <c r="J82" i="5"/>
  <c r="I82" i="5"/>
  <c r="H82" i="5"/>
  <c r="K81" i="5"/>
  <c r="J81" i="5"/>
  <c r="I81" i="5"/>
  <c r="H81" i="5"/>
  <c r="K80" i="5"/>
  <c r="J80" i="5"/>
  <c r="I80" i="5"/>
  <c r="H80" i="5"/>
  <c r="K79" i="5"/>
  <c r="J79" i="5"/>
  <c r="I79" i="5"/>
  <c r="H79" i="5"/>
  <c r="K78" i="5"/>
  <c r="J78" i="5"/>
  <c r="I78" i="5"/>
  <c r="H78" i="5"/>
  <c r="K77" i="5"/>
  <c r="J77" i="5"/>
  <c r="I77" i="5"/>
  <c r="H77" i="5"/>
  <c r="K76" i="5"/>
  <c r="J76" i="5"/>
  <c r="I76" i="5"/>
  <c r="H76" i="5"/>
  <c r="K75" i="5"/>
  <c r="J75" i="5"/>
  <c r="I75" i="5"/>
  <c r="H75" i="5"/>
  <c r="K74" i="5"/>
  <c r="J74" i="5"/>
  <c r="I74" i="5"/>
  <c r="H74" i="5"/>
  <c r="K73" i="5"/>
  <c r="J73" i="5"/>
  <c r="I73" i="5"/>
  <c r="H73" i="5"/>
  <c r="K72" i="5"/>
  <c r="J72" i="5"/>
  <c r="I72" i="5"/>
  <c r="H72" i="5"/>
  <c r="K71" i="5"/>
  <c r="J71" i="5"/>
  <c r="I71" i="5"/>
  <c r="H71" i="5"/>
  <c r="K70" i="5"/>
  <c r="J70" i="5"/>
  <c r="I70" i="5"/>
  <c r="H70" i="5"/>
  <c r="K69" i="5"/>
  <c r="J69" i="5"/>
  <c r="I69" i="5"/>
  <c r="H69" i="5"/>
  <c r="K68" i="5"/>
  <c r="J68" i="5"/>
  <c r="I68" i="5"/>
  <c r="H68" i="5"/>
  <c r="K67" i="5"/>
  <c r="J67" i="5"/>
  <c r="I67" i="5"/>
  <c r="H67" i="5"/>
  <c r="K66" i="5"/>
  <c r="J66" i="5"/>
  <c r="I66" i="5"/>
  <c r="H66" i="5"/>
  <c r="K65" i="5"/>
  <c r="J65" i="5"/>
  <c r="I65" i="5"/>
  <c r="H65" i="5"/>
  <c r="K64" i="5"/>
  <c r="J64" i="5"/>
  <c r="I64" i="5"/>
  <c r="H64" i="5"/>
  <c r="K63" i="5"/>
  <c r="J63" i="5"/>
  <c r="I63" i="5"/>
  <c r="H63" i="5"/>
  <c r="K62" i="5"/>
  <c r="J62" i="5"/>
  <c r="I62" i="5"/>
  <c r="H62" i="5"/>
  <c r="K61" i="5"/>
  <c r="J61" i="5"/>
  <c r="I61" i="5"/>
  <c r="H61" i="5"/>
  <c r="K60" i="5"/>
  <c r="J60" i="5"/>
  <c r="I60" i="5"/>
  <c r="H60" i="5"/>
  <c r="K59" i="5"/>
  <c r="J59" i="5"/>
  <c r="I59" i="5"/>
  <c r="H59" i="5"/>
  <c r="K58" i="5"/>
  <c r="J58" i="5"/>
  <c r="I58" i="5"/>
  <c r="H58" i="5"/>
  <c r="K57" i="5"/>
  <c r="J57" i="5"/>
  <c r="I57" i="5"/>
  <c r="H57" i="5"/>
  <c r="K56" i="5"/>
  <c r="J56" i="5"/>
  <c r="I56" i="5"/>
  <c r="H56" i="5"/>
  <c r="K55" i="5"/>
  <c r="J55" i="5"/>
  <c r="I55" i="5"/>
  <c r="H55" i="5"/>
  <c r="K54" i="5"/>
  <c r="J54" i="5"/>
  <c r="I54" i="5"/>
  <c r="H54" i="5"/>
  <c r="K53" i="5"/>
  <c r="J53" i="5"/>
  <c r="I53" i="5"/>
  <c r="H53" i="5"/>
  <c r="K52" i="5"/>
  <c r="J52" i="5"/>
  <c r="I52" i="5"/>
  <c r="H52" i="5"/>
  <c r="K51" i="5"/>
  <c r="J51" i="5"/>
  <c r="I51" i="5"/>
  <c r="H51" i="5"/>
  <c r="K50" i="5"/>
  <c r="J50" i="5"/>
  <c r="I50" i="5"/>
  <c r="H50" i="5"/>
  <c r="K49" i="5"/>
  <c r="J49" i="5"/>
  <c r="I49" i="5"/>
  <c r="H49" i="5"/>
  <c r="K48" i="5"/>
  <c r="J48" i="5"/>
  <c r="I48" i="5"/>
  <c r="H48" i="5"/>
  <c r="K47" i="5"/>
  <c r="J47" i="5"/>
  <c r="I47" i="5"/>
  <c r="H47" i="5"/>
  <c r="K46" i="5"/>
  <c r="J46" i="5"/>
  <c r="I46" i="5"/>
  <c r="H46" i="5"/>
  <c r="K45" i="5"/>
  <c r="J45" i="5"/>
  <c r="I45" i="5"/>
  <c r="H45" i="5"/>
  <c r="K44" i="5"/>
  <c r="J44" i="5"/>
  <c r="I44" i="5"/>
  <c r="H44" i="5"/>
  <c r="K43" i="5"/>
  <c r="J43" i="5"/>
  <c r="I43" i="5"/>
  <c r="H43" i="5"/>
  <c r="K42" i="5"/>
  <c r="J42" i="5"/>
  <c r="I42" i="5"/>
  <c r="H42" i="5"/>
  <c r="K41" i="5"/>
  <c r="J41" i="5"/>
  <c r="I41" i="5"/>
  <c r="H41" i="5"/>
  <c r="K40" i="5"/>
  <c r="J40" i="5"/>
  <c r="I40" i="5"/>
  <c r="H40" i="5"/>
  <c r="K39" i="5"/>
  <c r="J39" i="5"/>
  <c r="I39" i="5"/>
  <c r="H39" i="5"/>
  <c r="K38" i="5"/>
  <c r="J38" i="5"/>
  <c r="I38" i="5"/>
  <c r="H38" i="5"/>
  <c r="K37" i="5"/>
  <c r="J37" i="5"/>
  <c r="I37" i="5"/>
  <c r="H37" i="5"/>
  <c r="K36" i="5"/>
  <c r="J36" i="5"/>
  <c r="I36" i="5"/>
  <c r="H36" i="5"/>
  <c r="K35" i="5"/>
  <c r="J35" i="5"/>
  <c r="I35" i="5"/>
  <c r="H35" i="5"/>
  <c r="K34" i="5"/>
  <c r="J34" i="5"/>
  <c r="I34" i="5"/>
  <c r="H34" i="5"/>
  <c r="K33" i="5"/>
  <c r="J33" i="5"/>
  <c r="I33" i="5"/>
  <c r="H33" i="5"/>
  <c r="K32" i="5"/>
  <c r="J32" i="5"/>
  <c r="I32" i="5"/>
  <c r="H32" i="5"/>
  <c r="K31" i="5"/>
  <c r="J31" i="5"/>
  <c r="I31" i="5"/>
  <c r="H31" i="5"/>
  <c r="K30" i="5"/>
  <c r="J30" i="5"/>
  <c r="I30" i="5"/>
  <c r="H30" i="5"/>
  <c r="K29" i="5"/>
  <c r="J29" i="5"/>
  <c r="I29" i="5"/>
  <c r="H29" i="5"/>
  <c r="K28" i="5"/>
  <c r="J28" i="5"/>
  <c r="I28" i="5"/>
  <c r="H28" i="5"/>
  <c r="K27" i="5"/>
  <c r="J27" i="5"/>
  <c r="I27" i="5"/>
  <c r="H27" i="5"/>
  <c r="K26" i="5"/>
  <c r="J26" i="5"/>
  <c r="I26" i="5"/>
  <c r="H26" i="5"/>
  <c r="K25" i="5"/>
  <c r="J25" i="5"/>
  <c r="I25" i="5"/>
  <c r="H25" i="5"/>
  <c r="K24" i="5"/>
  <c r="J24" i="5"/>
  <c r="I24" i="5"/>
  <c r="H24" i="5"/>
  <c r="K23" i="5"/>
  <c r="J23" i="5"/>
  <c r="I23" i="5"/>
  <c r="H23" i="5"/>
  <c r="K22" i="5"/>
  <c r="J22" i="5"/>
  <c r="I22" i="5"/>
  <c r="H22" i="5"/>
  <c r="K21" i="5"/>
  <c r="J21" i="5"/>
  <c r="I21" i="5"/>
  <c r="H21" i="5"/>
  <c r="K20" i="5"/>
  <c r="J20" i="5"/>
  <c r="I20" i="5"/>
  <c r="H20" i="5"/>
  <c r="K19" i="5"/>
  <c r="J19" i="5"/>
  <c r="I19" i="5"/>
  <c r="H19" i="5"/>
  <c r="K18" i="5"/>
  <c r="J18" i="5"/>
  <c r="I18" i="5"/>
  <c r="H18" i="5"/>
  <c r="K17" i="5"/>
  <c r="J17" i="5"/>
  <c r="I17" i="5"/>
  <c r="H17" i="5"/>
  <c r="K16" i="5"/>
  <c r="J16" i="5"/>
  <c r="I16" i="5"/>
  <c r="H16" i="5"/>
  <c r="K15" i="5"/>
  <c r="J15" i="5"/>
  <c r="I15" i="5"/>
  <c r="H15" i="5"/>
  <c r="K14" i="5"/>
  <c r="J14" i="5"/>
  <c r="I14" i="5"/>
  <c r="H14" i="5"/>
  <c r="K13" i="5"/>
  <c r="J13" i="5"/>
  <c r="I13" i="5"/>
  <c r="H13" i="5"/>
  <c r="K12" i="5"/>
  <c r="J12" i="5"/>
  <c r="I12" i="5"/>
  <c r="H12" i="5"/>
  <c r="K11" i="5"/>
  <c r="J11" i="5"/>
  <c r="I11" i="5"/>
  <c r="H11" i="5"/>
  <c r="K10" i="5"/>
  <c r="J10" i="5"/>
  <c r="I10" i="5"/>
  <c r="H10" i="5"/>
  <c r="K9" i="5"/>
  <c r="J9" i="5"/>
  <c r="I9" i="5"/>
  <c r="H9" i="5"/>
  <c r="K8" i="5"/>
  <c r="J8" i="5"/>
  <c r="I8" i="5"/>
  <c r="H8" i="5"/>
  <c r="K7" i="5"/>
  <c r="J7" i="5"/>
  <c r="I7" i="5"/>
  <c r="H7" i="5"/>
  <c r="K6" i="5"/>
  <c r="J6" i="5"/>
  <c r="I6" i="5"/>
  <c r="H6" i="5"/>
  <c r="K5" i="5"/>
  <c r="J5" i="5"/>
  <c r="I5" i="5"/>
  <c r="H5" i="5"/>
  <c r="K4" i="5"/>
  <c r="J4" i="5"/>
  <c r="I4" i="5"/>
  <c r="H4" i="5"/>
  <c r="K3" i="5"/>
  <c r="J3" i="5"/>
  <c r="I3" i="5"/>
  <c r="H3" i="5"/>
  <c r="J2" i="5"/>
  <c r="I2" i="5"/>
  <c r="H2" i="5"/>
</calcChain>
</file>

<file path=xl/sharedStrings.xml><?xml version="1.0" encoding="utf-8"?>
<sst xmlns="http://schemas.openxmlformats.org/spreadsheetml/2006/main" count="328" uniqueCount="71">
  <si>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</si>
  <si>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</si>
  <si>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</si>
  <si>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</si>
  <si>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</si>
  <si>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</si>
  <si>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</si>
  <si>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Engagement_Value</t>
  </si>
  <si>
    <t>Net Followers</t>
  </si>
  <si>
    <t>Campaign_Name</t>
  </si>
  <si>
    <t>Facebook</t>
  </si>
  <si>
    <t>Instagram</t>
  </si>
  <si>
    <t>Twitter</t>
  </si>
  <si>
    <t>YouTube</t>
  </si>
  <si>
    <t>Post ID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</si>
  <si>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</si>
  <si>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</si>
  <si>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</si>
  <si>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</si>
  <si>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</si>
  <si>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</si>
  <si>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</si>
  <si>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</si>
  <si>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</si>
  <si>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</si>
  <si>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Engagement Rate</t>
  </si>
  <si>
    <t>Rank</t>
  </si>
  <si>
    <t>P220</t>
  </si>
  <si>
    <t>Story</t>
  </si>
  <si>
    <t>Check out our latest story on instagram!</t>
  </si>
  <si>
    <t>#ThirstyForMore</t>
  </si>
  <si>
    <t>P058</t>
  </si>
  <si>
    <t>Reel</t>
  </si>
  <si>
    <t>Check out our latest reel on instagram!</t>
  </si>
  <si>
    <t>#PepsiCoRefresh</t>
  </si>
  <si>
    <t>DailyWellness</t>
  </si>
  <si>
    <t>P232</t>
  </si>
  <si>
    <t>Check out our latest story on twitter!</t>
  </si>
  <si>
    <t>P178</t>
  </si>
  <si>
    <t>Video</t>
  </si>
  <si>
    <t>Check out our latest video on instagram!</t>
  </si>
  <si>
    <t>P175</t>
  </si>
  <si>
    <t>#LiveForNow</t>
  </si>
  <si>
    <t>P062</t>
  </si>
  <si>
    <t>Carousel</t>
  </si>
  <si>
    <t>Check out our latest carousel on twitter!</t>
  </si>
  <si>
    <t>NewYearRefresh</t>
  </si>
  <si>
    <t>P264</t>
  </si>
  <si>
    <t>Image</t>
  </si>
  <si>
    <t>Check out our latest image on twitter!</t>
  </si>
  <si>
    <t>FestiveRadiance</t>
  </si>
  <si>
    <t>P143</t>
  </si>
  <si>
    <t>Check out our latest carousel on youtube!</t>
  </si>
  <si>
    <t>P210</t>
  </si>
  <si>
    <t>Check out our latest image on youtube!</t>
  </si>
  <si>
    <t>SummerSplash</t>
  </si>
  <si>
    <t>P070</t>
  </si>
  <si>
    <t>Check out our latest video on facebook!</t>
  </si>
  <si>
    <t>Row Labels</t>
  </si>
  <si>
    <t>Sum of Likes</t>
  </si>
  <si>
    <t>Sum of Shares</t>
  </si>
  <si>
    <t>Sum of Comments</t>
  </si>
  <si>
    <t>Sum of Impressions</t>
  </si>
  <si>
    <t>Sum of Reach</t>
  </si>
  <si>
    <t>Text</t>
  </si>
  <si>
    <t>Grand Total</t>
  </si>
  <si>
    <t>Average of Clicks</t>
  </si>
  <si>
    <t>#SmoothLikeNitroPepsi</t>
  </si>
  <si>
    <t>#BetterWithPepsi</t>
  </si>
  <si>
    <t>#AnytimeIsPepsiTime</t>
  </si>
  <si>
    <t>Avg Engagment rate(Before)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</si>
</sst>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USD]\ #,##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3" fontId="3" fillId="0" borderId="1" xfId="0" applyNumberFormat="1" applyFont="1" applyBorder="1" applyAlignment="1">
      <alignment horizontal="center" vertical="top" wrapText="1"/>
    </xf>
    <xf numFmtId="3" fontId="3" fillId="0" borderId="1" xfId="0" applyNumberFormat="1" applyFont="1" applyBorder="1" applyAlignment="1">
      <alignment horizontal="center" vertical="top"/>
    </xf>
    <xf numFmtId="3" fontId="2" fillId="2" borderId="0" xfId="0" applyNumberFormat="1" applyFont="1" applyFill="1"/>
    <xf numFmtId="14" fontId="4" fillId="0" borderId="0" xfId="0" applyNumberFormat="1" applyFont="1"/>
    <xf numFmtId="0" fontId="4" fillId="0" borderId="0" xfId="0" applyFont="1"/>
    <xf numFmtId="3" fontId="4" fillId="0" borderId="0" xfId="0" applyNumberFormat="1" applyFont="1"/>
    <xf numFmtId="3" fontId="0" fillId="0" borderId="0" xfId="0" applyNumberFormat="1"/>
    <xf numFmtId="3" fontId="1" fillId="3" borderId="2" xfId="0" applyNumberFormat="1" applyFont="1" applyFill="1" applyBorder="1"/>
    <xf numFmtId="3" fontId="1" fillId="0" borderId="2" xfId="0" applyNumberFormat="1" applyFont="1" applyBorder="1"/>
    <xf numFmtId="3" fontId="1" fillId="0" borderId="3" xfId="0" applyNumberFormat="1" applyFont="1" applyBorder="1"/>
    <xf numFmtId="14" fontId="0" fillId="0" borderId="0" xfId="0" applyNumberFormat="1"/>
    <xf numFmtId="10" fontId="1" fillId="0" borderId="0" xfId="0" applyNumberFormat="1" applyFont="1"/>
    <xf numFmtId="0" fontId="1" fillId="0" borderId="0" xfId="0" applyFont="1"/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/>
    <xf numFmtId="2" fontId="0" fillId="0" borderId="0" xfId="0" applyNumberFormat="1"/>
    <xf numFmtId="164" fontId="3" fillId="0" borderId="1" xfId="0" applyNumberFormat="1" applyFont="1" applyBorder="1" applyAlignment="1">
      <alignment horizontal="center" vertical="top" wrapText="1"/>
    </xf>
    <xf numFmtId="164" fontId="4" fillId="0" borderId="0" xfId="0" applyNumberFormat="1" applyFont="1"/>
    <xf numFmtId="164" fontId="0" fillId="0" borderId="0" xfId="0" applyNumberFormat="1"/>
    <xf numFmtId="0" fontId="3" fillId="0" borderId="1" xfId="0" applyFont="1" applyBorder="1" applyAlignment="1">
      <alignment horizontal="center" vertical="top" wrapText="1"/>
    </xf>
    <xf numFmtId="2" fontId="1" fillId="0" borderId="0" xfId="0" applyNumberFormat="1" applyFont="1"/>
  </cellXfs>
  <cellStyles count="1">
    <cellStyle name="Normal" xfId="0" builtinId="0"/>
  </cellStyles>
  <dxfs count="30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3" formatCode="#,##0"/>
    </dxf>
    <dxf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</border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" formatCode="#,##0"/>
      <fill>
        <patternFill patternType="solid">
          <fgColor theme="4"/>
          <bgColor theme="4"/>
        </patternFill>
      </fill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[$USD]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204</xdr:row>
      <xdr:rowOff>0</xdr:rowOff>
    </xdr:from>
    <xdr:to>
      <xdr:col>9</xdr:col>
      <xdr:colOff>1097280</xdr:colOff>
      <xdr:row>206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9F362D0-5A42-4DD7-A9FC-966320D7A3B3}"/>
            </a:ext>
          </a:extLst>
        </xdr:cNvPr>
        <xdr:cNvSpPr txBox="1"/>
      </xdr:nvSpPr>
      <xdr:spPr>
        <a:xfrm>
          <a:off x="4465320" y="35753040"/>
          <a:ext cx="7528560" cy="388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Video  link :- </a:t>
          </a:r>
          <a:r>
            <a:rPr lang="en-IN" sz="1400"/>
            <a:t>https://drive.google.com/file/d/12svujuaQiu0tN899nper80wkrSsEAk9Q/view?usp=sharing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9b770aaa4e78a79f/Desktop/Social_Media_Analytics_Project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9b770aaa4e78a79f/Desktop/Social_Media_Analytics_Project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naid uddin" refreshedDate="45904.633834375003" createdVersion="8" refreshedVersion="8" minRefreshableVersion="3" recordCount="339" xr:uid="{9B8A2451-D2FC-4174-A3CB-7687CB39A6DA}">
  <cacheSource type="worksheet">
    <worksheetSource name="Table5_1" r:id="rId2"/>
  </cacheSource>
  <cacheFields count="13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 count="6">
        <s v="#LiveForNow"/>
        <s v="#AnytimeIsPepsiTime"/>
        <s v="#PepsiCoRefresh"/>
        <s v="#BetterWithPepsi"/>
        <s v="#ThirstyForMore"/>
        <s v="#SmoothLikeNitroPepsi"/>
      </sharedItems>
    </cacheField>
    <cacheField name="Campaign_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naid uddin" refreshedDate="45904.633834375003" createdVersion="8" refreshedVersion="8" minRefreshableVersion="3" recordCount="339" xr:uid="{4C5CF460-A986-475C-8288-A0E06BBA7C78}">
  <cacheSource type="worksheet">
    <worksheetSource name="Table5_1" r:id="rId2"/>
  </cacheSource>
  <cacheFields count="13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 count="6">
        <s v="#LiveForNow"/>
        <s v="#AnytimeIsPepsiTime"/>
        <s v="#PepsiCoRefresh"/>
        <s v="#BetterWithPepsi"/>
        <s v="#ThirstyForMore"/>
        <s v="#SmoothLikeNitroPepsi"/>
      </sharedItems>
    </cacheField>
    <cacheField name="Campaign_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s v="P001"/>
    <x v="0"/>
    <d v="2024-12-23T00:00:00"/>
    <x v="0"/>
    <s v="Check out our latest reel on twitter!"/>
    <n v="1461"/>
    <n v="184"/>
    <n v="344"/>
    <n v="21915"/>
    <n v="21675"/>
    <n v="15"/>
    <x v="0"/>
    <s v="SummerSplash"/>
  </r>
  <r>
    <s v="P001"/>
    <x v="0"/>
    <d v="2024-12-23T00:00:00"/>
    <x v="0"/>
    <s v="Check out our latest reel on twitter!"/>
    <n v="1461"/>
    <n v="184"/>
    <n v="344"/>
    <n v="21915"/>
    <n v="21675"/>
    <n v="15"/>
    <x v="1"/>
    <s v="SummerSplash"/>
  </r>
  <r>
    <s v="P002"/>
    <x v="0"/>
    <d v="2025-04-03T00:00:00"/>
    <x v="1"/>
    <s v="Check out our latest text on twitter!"/>
    <n v="4054"/>
    <n v="389"/>
    <n v="493"/>
    <n v="64864"/>
    <n v="64383"/>
    <n v="117"/>
    <x v="2"/>
    <s v="FestiveRadiance"/>
  </r>
  <r>
    <s v="P002"/>
    <x v="0"/>
    <d v="2025-04-03T00:00:00"/>
    <x v="1"/>
    <s v="Check out our latest text on twitter!"/>
    <n v="4054"/>
    <n v="389"/>
    <n v="493"/>
    <n v="64864"/>
    <n v="64383"/>
    <n v="117"/>
    <x v="3"/>
    <s v="FestiveRadiance"/>
  </r>
  <r>
    <s v="P003"/>
    <x v="1"/>
    <d v="2025-05-12T00:00:00"/>
    <x v="0"/>
    <s v="Check out our latest reel on youtube!"/>
    <n v="2795"/>
    <n v="105"/>
    <n v="49"/>
    <n v="53105"/>
    <n v="52307"/>
    <n v="204"/>
    <x v="2"/>
    <s v="NewYearRefresh"/>
  </r>
  <r>
    <s v="P004"/>
    <x v="2"/>
    <d v="2024-08-12T00:00:00"/>
    <x v="2"/>
    <s v="Check out our latest story on instagram!"/>
    <n v="2404"/>
    <n v="363"/>
    <n v="138"/>
    <n v="19232"/>
    <n v="18636"/>
    <n v="128"/>
    <x v="4"/>
    <s v="DailyWellness"/>
  </r>
  <r>
    <s v="P005"/>
    <x v="1"/>
    <d v="2024-06-26T00:00:00"/>
    <x v="0"/>
    <s v="Check out our latest reel on youtube!"/>
    <n v="3557"/>
    <n v="687"/>
    <n v="424"/>
    <n v="71140"/>
    <n v="70701"/>
    <n v="224"/>
    <x v="4"/>
    <s v="SummerSplash"/>
  </r>
  <r>
    <s v="P005"/>
    <x v="1"/>
    <d v="2024-06-26T00:00:00"/>
    <x v="0"/>
    <s v="Check out our latest reel on youtube!"/>
    <n v="3557"/>
    <n v="687"/>
    <n v="424"/>
    <n v="71140"/>
    <n v="70701"/>
    <n v="224"/>
    <x v="2"/>
    <s v="SummerSplash"/>
  </r>
  <r>
    <s v="P006"/>
    <x v="3"/>
    <d v="2024-10-31T00:00:00"/>
    <x v="3"/>
    <s v="Check out our latest carousel on facebook!"/>
    <n v="2945"/>
    <n v="930"/>
    <n v="355"/>
    <n v="23560"/>
    <n v="23275"/>
    <n v="256"/>
    <x v="2"/>
    <s v="FestiveRadiance"/>
  </r>
  <r>
    <s v="P007"/>
    <x v="0"/>
    <d v="2024-06-24T00:00:00"/>
    <x v="3"/>
    <s v="Check out our latest carousel on twitter!"/>
    <n v="3860"/>
    <n v="201"/>
    <n v="279"/>
    <n v="61760"/>
    <n v="61660"/>
    <n v="235"/>
    <x v="2"/>
    <s v="FestiveRadiance"/>
  </r>
  <r>
    <s v="P008"/>
    <x v="1"/>
    <d v="2024-07-13T00:00:00"/>
    <x v="4"/>
    <s v="Check out our latest image on youtube!"/>
    <n v="3929"/>
    <n v="262"/>
    <n v="278"/>
    <n v="43219"/>
    <n v="42841"/>
    <n v="39"/>
    <x v="4"/>
    <s v="DailyWellness"/>
  </r>
  <r>
    <s v="P009"/>
    <x v="3"/>
    <d v="2024-08-30T00:00:00"/>
    <x v="1"/>
    <s v="Check out our latest text on facebook!"/>
    <n v="3784"/>
    <n v="808"/>
    <n v="404"/>
    <n v="56760"/>
    <n v="56343"/>
    <n v="131"/>
    <x v="2"/>
    <s v="FestiveRadiance"/>
  </r>
  <r>
    <s v="P010"/>
    <x v="3"/>
    <d v="2025-03-11T00:00:00"/>
    <x v="4"/>
    <s v="Check out our latest image on facebook!"/>
    <n v="4241"/>
    <n v="902"/>
    <n v="47"/>
    <n v="72097"/>
    <n v="71598"/>
    <n v="167"/>
    <x v="2"/>
    <s v="FestiveRadiance"/>
  </r>
  <r>
    <s v="P011"/>
    <x v="2"/>
    <d v="2025-02-02T00:00:00"/>
    <x v="2"/>
    <s v="Check out our latest story on instagram!"/>
    <n v="1792"/>
    <n v="614"/>
    <n v="497"/>
    <n v="25088"/>
    <n v="24675"/>
    <n v="65"/>
    <x v="0"/>
    <s v="DailyWellness"/>
  </r>
  <r>
    <s v="P012"/>
    <x v="3"/>
    <d v="2024-07-21T00:00:00"/>
    <x v="0"/>
    <s v="Check out our latest reel on facebook!"/>
    <n v="1946"/>
    <n v="686"/>
    <n v="377"/>
    <n v="23352"/>
    <n v="22982"/>
    <n v="213"/>
    <x v="0"/>
    <s v="NewYearRefresh"/>
  </r>
  <r>
    <s v="P013"/>
    <x v="1"/>
    <d v="2024-11-18T00:00:00"/>
    <x v="3"/>
    <s v="Check out our latest carousel on youtube!"/>
    <n v="1171"/>
    <n v="286"/>
    <n v="231"/>
    <n v="22249"/>
    <n v="21282"/>
    <n v="114"/>
    <x v="4"/>
    <s v="SummerSplash"/>
  </r>
  <r>
    <s v="P014"/>
    <x v="3"/>
    <d v="2025-02-16T00:00:00"/>
    <x v="2"/>
    <s v="Check out our latest story on facebook!"/>
    <n v="4242"/>
    <n v="555"/>
    <n v="131"/>
    <n v="33936"/>
    <n v="33802"/>
    <n v="265"/>
    <x v="0"/>
    <m/>
  </r>
  <r>
    <s v="P015"/>
    <x v="3"/>
    <d v="2024-10-24T00:00:00"/>
    <x v="5"/>
    <s v="Check out our latest video on facebook!"/>
    <n v="3888"/>
    <n v="604"/>
    <n v="128"/>
    <n v="77760"/>
    <n v="77167"/>
    <n v="20"/>
    <x v="0"/>
    <s v="SummerSplash"/>
  </r>
  <r>
    <s v="P016"/>
    <x v="3"/>
    <d v="2024-08-26T00:00:00"/>
    <x v="1"/>
    <s v="Check out our latest text on facebook!"/>
    <n v="3452"/>
    <n v="377"/>
    <n v="360"/>
    <n v="55232"/>
    <n v="55075"/>
    <n v="87"/>
    <x v="0"/>
    <s v="NewYearRefresh"/>
  </r>
  <r>
    <s v="P017"/>
    <x v="3"/>
    <d v="2025-05-05T00:00:00"/>
    <x v="1"/>
    <s v="Check out our latest text on facebook!"/>
    <n v="4441"/>
    <n v="511"/>
    <n v="70"/>
    <n v="53292"/>
    <n v="53082"/>
    <n v="159"/>
    <x v="4"/>
    <s v="DailyWellness"/>
  </r>
  <r>
    <s v="P018"/>
    <x v="2"/>
    <d v="2024-08-19T00:00:00"/>
    <x v="0"/>
    <s v="Check out our latest reel on instagram!"/>
    <n v="3000"/>
    <n v="382"/>
    <n v="325"/>
    <n v="36000"/>
    <n v="35819"/>
    <n v="19"/>
    <x v="0"/>
    <s v="SummerSplash"/>
  </r>
  <r>
    <s v="P019"/>
    <x v="2"/>
    <d v="2024-06-23T00:00:00"/>
    <x v="5"/>
    <s v="Check out our latest video on instagram!"/>
    <n v="1071"/>
    <n v="519"/>
    <n v="22"/>
    <n v="16065"/>
    <n v="15865"/>
    <n v="103"/>
    <x v="2"/>
    <s v="DailyWellness"/>
  </r>
  <r>
    <s v="P020"/>
    <x v="2"/>
    <d v="2024-09-09T00:00:00"/>
    <x v="3"/>
    <s v="Check out our latest carousel on instagram!"/>
    <n v="4054"/>
    <n v="488"/>
    <n v="373"/>
    <n v="77026"/>
    <n v="76881"/>
    <n v="25"/>
    <x v="2"/>
    <s v="SummerSplash"/>
  </r>
  <r>
    <s v="P021"/>
    <x v="2"/>
    <d v="2025-01-04T00:00:00"/>
    <x v="0"/>
    <s v="Check out our latest reel on instagram!"/>
    <n v="4838"/>
    <n v="640"/>
    <n v="128"/>
    <n v="72570"/>
    <n v="72396"/>
    <n v="83"/>
    <x v="0"/>
    <s v="DailyWellness"/>
  </r>
  <r>
    <s v="P022"/>
    <x v="3"/>
    <d v="2025-02-27T00:00:00"/>
    <x v="1"/>
    <s v="Check out our latest text on facebook!"/>
    <n v="1570"/>
    <n v="187"/>
    <n v="260"/>
    <n v="25120"/>
    <n v="24613"/>
    <n v="133"/>
    <x v="2"/>
    <s v="DailyWellness"/>
  </r>
  <r>
    <s v="P023"/>
    <x v="3"/>
    <d v="2024-11-06T00:00:00"/>
    <x v="5"/>
    <s v="Check out our latest video on facebook!"/>
    <n v="1606"/>
    <n v="547"/>
    <n v="316"/>
    <n v="32120"/>
    <n v="31736"/>
    <n v="225"/>
    <x v="2"/>
    <s v="FestiveRadiance"/>
  </r>
  <r>
    <s v="P023"/>
    <x v="3"/>
    <d v="2024-11-06T00:00:00"/>
    <x v="5"/>
    <s v="Check out our latest video on facebook!"/>
    <n v="1606"/>
    <n v="547"/>
    <n v="316"/>
    <n v="32120"/>
    <n v="31736"/>
    <n v="225"/>
    <x v="1"/>
    <s v="FestiveRadiance"/>
  </r>
  <r>
    <s v="P024"/>
    <x v="3"/>
    <d v="2025-01-23T00:00:00"/>
    <x v="5"/>
    <s v="Check out our latest video on facebook!"/>
    <n v="3961"/>
    <n v="761"/>
    <n v="131"/>
    <n v="67337"/>
    <n v="66615"/>
    <n v="161"/>
    <x v="0"/>
    <s v="NewYearRefresh"/>
  </r>
  <r>
    <s v="P025"/>
    <x v="0"/>
    <d v="2025-04-10T00:00:00"/>
    <x v="3"/>
    <s v="Check out our latest carousel on twitter!"/>
    <n v="3128"/>
    <n v="211"/>
    <n v="197"/>
    <n v="59432"/>
    <n v="59182"/>
    <n v="238"/>
    <x v="4"/>
    <m/>
  </r>
  <r>
    <s v="P026"/>
    <x v="1"/>
    <d v="2025-04-05T00:00:00"/>
    <x v="0"/>
    <s v="Check out our latest reel on youtube!"/>
    <n v="3009"/>
    <n v="413"/>
    <n v="358"/>
    <n v="42126"/>
    <n v="41309"/>
    <n v="211"/>
    <x v="0"/>
    <s v="FestiveRadiance"/>
  </r>
  <r>
    <s v="P027"/>
    <x v="1"/>
    <d v="2024-09-17T00:00:00"/>
    <x v="1"/>
    <s v="Check out our latest text on youtube!"/>
    <n v="2076"/>
    <n v="195"/>
    <n v="104"/>
    <n v="33216"/>
    <n v="32244"/>
    <n v="51"/>
    <x v="0"/>
    <s v="DailyWellness"/>
  </r>
  <r>
    <s v="P028"/>
    <x v="2"/>
    <d v="2025-03-04T00:00:00"/>
    <x v="5"/>
    <s v="Check out our latest video on instagram!"/>
    <n v="432"/>
    <n v="624"/>
    <n v="123"/>
    <n v="6912"/>
    <n v="6259"/>
    <n v="79"/>
    <x v="0"/>
    <s v="DailyWellness"/>
  </r>
  <r>
    <s v="P029"/>
    <x v="2"/>
    <d v="2025-01-31T00:00:00"/>
    <x v="3"/>
    <s v="Check out our latest carousel on instagram!"/>
    <n v="2566"/>
    <n v="118"/>
    <n v="37"/>
    <n v="12830"/>
    <n v="12264"/>
    <n v="221"/>
    <x v="0"/>
    <s v="NewYearRefresh"/>
  </r>
  <r>
    <s v="P030"/>
    <x v="2"/>
    <d v="2025-02-25T00:00:00"/>
    <x v="5"/>
    <s v="Check out our latest video on instagram!"/>
    <n v="3095"/>
    <n v="39"/>
    <n v="78"/>
    <n v="55710"/>
    <n v="54808"/>
    <n v="93"/>
    <x v="4"/>
    <m/>
  </r>
  <r>
    <s v="P031"/>
    <x v="2"/>
    <d v="2024-12-16T00:00:00"/>
    <x v="1"/>
    <s v="Check out our latest text on instagram!"/>
    <n v="438"/>
    <n v="153"/>
    <n v="275"/>
    <n v="3066"/>
    <n v="2701"/>
    <n v="282"/>
    <x v="2"/>
    <s v="FestiveRadiance"/>
  </r>
  <r>
    <s v="P032"/>
    <x v="0"/>
    <d v="2024-07-31T00:00:00"/>
    <x v="3"/>
    <s v="Check out our latest carousel on twitter!"/>
    <n v="2278"/>
    <n v="10"/>
    <n v="321"/>
    <n v="13668"/>
    <n v="12676"/>
    <n v="275"/>
    <x v="4"/>
    <s v="SummerSplash"/>
  </r>
  <r>
    <s v="P033"/>
    <x v="3"/>
    <d v="2024-08-21T00:00:00"/>
    <x v="4"/>
    <s v="Check out our latest image on facebook!"/>
    <n v="1407"/>
    <n v="400"/>
    <n v="351"/>
    <n v="16884"/>
    <n v="15954"/>
    <n v="113"/>
    <x v="2"/>
    <s v="SummerSplash"/>
  </r>
  <r>
    <s v="P034"/>
    <x v="3"/>
    <d v="2025-03-26T00:00:00"/>
    <x v="1"/>
    <s v="Check out our latest text on facebook!"/>
    <n v="1652"/>
    <n v="89"/>
    <n v="357"/>
    <n v="29736"/>
    <n v="28771"/>
    <n v="215"/>
    <x v="2"/>
    <s v="NewYearRefresh"/>
  </r>
  <r>
    <s v="P035"/>
    <x v="2"/>
    <d v="2024-11-30T00:00:00"/>
    <x v="5"/>
    <s v="Check out our latest video on instagram!"/>
    <n v="3775"/>
    <n v="16"/>
    <n v="239"/>
    <n v="33975"/>
    <n v="33310"/>
    <n v="271"/>
    <x v="0"/>
    <s v="FestiveRadiance"/>
  </r>
  <r>
    <s v="P036"/>
    <x v="2"/>
    <d v="2025-04-19T00:00:00"/>
    <x v="2"/>
    <s v="Check out our latest story on instagram!"/>
    <n v="4518"/>
    <n v="285"/>
    <n v="383"/>
    <n v="67770"/>
    <n v="67621"/>
    <n v="31"/>
    <x v="4"/>
    <s v="FestiveRadiance"/>
  </r>
  <r>
    <s v="P037"/>
    <x v="3"/>
    <d v="2025-01-06T00:00:00"/>
    <x v="3"/>
    <s v="Check out our latest carousel on facebook!"/>
    <n v="3024"/>
    <n v="925"/>
    <n v="350"/>
    <n v="24192"/>
    <n v="23518"/>
    <n v="36"/>
    <x v="4"/>
    <s v="FestiveRadiance"/>
  </r>
  <r>
    <s v="P038"/>
    <x v="1"/>
    <d v="2025-02-17T00:00:00"/>
    <x v="0"/>
    <s v="Check out our latest reel on youtube!"/>
    <n v="3138"/>
    <n v="123"/>
    <n v="291"/>
    <n v="28242"/>
    <n v="27550"/>
    <n v="87"/>
    <x v="2"/>
    <s v="DailyWellness"/>
  </r>
  <r>
    <s v="P039"/>
    <x v="3"/>
    <d v="2024-11-25T00:00:00"/>
    <x v="4"/>
    <s v="Check out our latest image on facebook!"/>
    <n v="3564"/>
    <n v="629"/>
    <n v="177"/>
    <n v="60588"/>
    <n v="59627"/>
    <n v="92"/>
    <x v="2"/>
    <m/>
  </r>
  <r>
    <s v="P040"/>
    <x v="0"/>
    <d v="2025-03-07T00:00:00"/>
    <x v="4"/>
    <s v="Check out our latest image on twitter!"/>
    <n v="4750"/>
    <n v="151"/>
    <n v="415"/>
    <n v="38000"/>
    <n v="37792"/>
    <n v="299"/>
    <x v="4"/>
    <s v="DailyWellness"/>
  </r>
  <r>
    <s v="P041"/>
    <x v="2"/>
    <d v="2025-03-08T00:00:00"/>
    <x v="0"/>
    <s v="Check out our latest reel on instagram!"/>
    <n v="456"/>
    <n v="629"/>
    <n v="428"/>
    <n v="8208"/>
    <n v="7377"/>
    <n v="205"/>
    <x v="0"/>
    <s v="DailyWellness"/>
  </r>
  <r>
    <s v="P042"/>
    <x v="1"/>
    <d v="2025-03-05T00:00:00"/>
    <x v="0"/>
    <s v="Check out our latest reel on youtube!"/>
    <n v="1543"/>
    <n v="820"/>
    <n v="333"/>
    <n v="12344"/>
    <n v="11496"/>
    <n v="241"/>
    <x v="4"/>
    <m/>
  </r>
  <r>
    <s v="P043"/>
    <x v="2"/>
    <d v="2024-12-14T00:00:00"/>
    <x v="3"/>
    <s v="Check out our latest carousel on instagram!"/>
    <n v="2174"/>
    <n v="658"/>
    <n v="15"/>
    <n v="13044"/>
    <n v="12206"/>
    <n v="137"/>
    <x v="2"/>
    <s v="NewYearRefresh"/>
  </r>
  <r>
    <s v="P044"/>
    <x v="0"/>
    <d v="2025-03-02T00:00:00"/>
    <x v="4"/>
    <s v="Check out our latest image on twitter!"/>
    <n v="2358"/>
    <n v="784"/>
    <n v="344"/>
    <n v="35370"/>
    <n v="34475"/>
    <n v="216"/>
    <x v="2"/>
    <m/>
  </r>
  <r>
    <s v="P045"/>
    <x v="3"/>
    <d v="2024-11-01T00:00:00"/>
    <x v="5"/>
    <s v="Check out our latest video on facebook!"/>
    <n v="3371"/>
    <n v="106"/>
    <n v="327"/>
    <n v="50565"/>
    <n v="49816"/>
    <n v="176"/>
    <x v="0"/>
    <s v="SummerSplash"/>
  </r>
  <r>
    <s v="P046"/>
    <x v="0"/>
    <d v="2025-05-02T00:00:00"/>
    <x v="5"/>
    <s v="Check out our latest video on twitter!"/>
    <n v="1108"/>
    <n v="177"/>
    <n v="212"/>
    <n v="8864"/>
    <n v="8710"/>
    <n v="97"/>
    <x v="2"/>
    <s v="DailyWellness"/>
  </r>
  <r>
    <s v="P047"/>
    <x v="0"/>
    <d v="2025-02-24T00:00:00"/>
    <x v="3"/>
    <s v="Check out our latest carousel on twitter!"/>
    <n v="2704"/>
    <n v="752"/>
    <n v="153"/>
    <n v="21632"/>
    <n v="20792"/>
    <n v="127"/>
    <x v="0"/>
    <m/>
  </r>
  <r>
    <s v="P048"/>
    <x v="0"/>
    <d v="2025-03-11T00:00:00"/>
    <x v="2"/>
    <s v="Check out our latest story on twitter!"/>
    <n v="1950"/>
    <n v="295"/>
    <n v="478"/>
    <n v="37050"/>
    <n v="36272"/>
    <n v="119"/>
    <x v="2"/>
    <m/>
  </r>
  <r>
    <s v="P049"/>
    <x v="0"/>
    <d v="2024-06-10T00:00:00"/>
    <x v="2"/>
    <s v="Check out our latest story on twitter!"/>
    <n v="2164"/>
    <n v="549"/>
    <n v="274"/>
    <n v="28132"/>
    <n v="27361"/>
    <n v="177"/>
    <x v="2"/>
    <s v="DailyWellness"/>
  </r>
  <r>
    <s v="P050"/>
    <x v="1"/>
    <d v="2024-07-03T00:00:00"/>
    <x v="2"/>
    <s v="Check out our latest story on youtube!"/>
    <n v="2754"/>
    <n v="130"/>
    <n v="90"/>
    <n v="22032"/>
    <n v="21288"/>
    <n v="112"/>
    <x v="2"/>
    <s v="NewYearRefresh"/>
  </r>
  <r>
    <s v="P051"/>
    <x v="3"/>
    <d v="2024-06-13T00:00:00"/>
    <x v="3"/>
    <s v="Check out our latest carousel on facebook!"/>
    <n v="2200"/>
    <n v="504"/>
    <n v="239"/>
    <n v="37400"/>
    <n v="36938"/>
    <n v="225"/>
    <x v="0"/>
    <s v="FestiveRadiance"/>
  </r>
  <r>
    <s v="P052"/>
    <x v="3"/>
    <d v="2025-01-03T00:00:00"/>
    <x v="4"/>
    <s v="Check out our latest image on facebook!"/>
    <n v="947"/>
    <n v="338"/>
    <n v="350"/>
    <n v="10417"/>
    <n v="9730"/>
    <n v="34"/>
    <x v="2"/>
    <s v="DailyWellness"/>
  </r>
  <r>
    <s v="P053"/>
    <x v="1"/>
    <d v="2025-02-24T00:00:00"/>
    <x v="3"/>
    <s v="Check out our latest carousel on youtube!"/>
    <n v="804"/>
    <n v="639"/>
    <n v="43"/>
    <n v="4020"/>
    <n v="3144"/>
    <n v="11"/>
    <x v="4"/>
    <m/>
  </r>
  <r>
    <s v="P053"/>
    <x v="1"/>
    <d v="2025-02-24T00:00:00"/>
    <x v="3"/>
    <s v="Check out our latest carousel on youtube!"/>
    <n v="804"/>
    <n v="639"/>
    <n v="43"/>
    <n v="4020"/>
    <n v="3144"/>
    <n v="11"/>
    <x v="3"/>
    <m/>
  </r>
  <r>
    <s v="P054"/>
    <x v="1"/>
    <d v="2025-03-13T00:00:00"/>
    <x v="3"/>
    <s v="Check out our latest carousel on youtube!"/>
    <n v="1686"/>
    <n v="904"/>
    <n v="472"/>
    <n v="18546"/>
    <n v="18171"/>
    <n v="52"/>
    <x v="0"/>
    <s v="FestiveRadiance"/>
  </r>
  <r>
    <s v="P055"/>
    <x v="3"/>
    <d v="2024-06-17T00:00:00"/>
    <x v="4"/>
    <s v="Check out our latest image on facebook!"/>
    <n v="1226"/>
    <n v="119"/>
    <n v="7"/>
    <n v="14712"/>
    <n v="14049"/>
    <n v="123"/>
    <x v="4"/>
    <s v="DailyWellness"/>
  </r>
  <r>
    <s v="P056"/>
    <x v="3"/>
    <d v="2024-12-18T00:00:00"/>
    <x v="3"/>
    <s v="Check out our latest carousel on facebook!"/>
    <n v="2946"/>
    <n v="498"/>
    <n v="367"/>
    <n v="29460"/>
    <n v="28527"/>
    <n v="60"/>
    <x v="0"/>
    <s v="NewYearRefresh"/>
  </r>
  <r>
    <s v="P057"/>
    <x v="0"/>
    <d v="2024-10-21T00:00:00"/>
    <x v="5"/>
    <s v="Check out our latest video on twitter!"/>
    <n v="2825"/>
    <n v="535"/>
    <n v="295"/>
    <n v="45200"/>
    <n v="44739"/>
    <n v="169"/>
    <x v="2"/>
    <s v="SummerSplash"/>
  </r>
  <r>
    <s v="P058"/>
    <x v="2"/>
    <d v="2025-04-15T00:00:00"/>
    <x v="0"/>
    <s v="Check out our latest reel on instagram!"/>
    <n v="103"/>
    <n v="770"/>
    <n v="19"/>
    <n v="1030"/>
    <n v="410"/>
    <n v="262"/>
    <x v="2"/>
    <s v="DailyWellness"/>
  </r>
  <r>
    <s v="P059"/>
    <x v="2"/>
    <d v="2024-06-22T00:00:00"/>
    <x v="1"/>
    <s v="Check out our latest text on instagram!"/>
    <n v="2180"/>
    <n v="263"/>
    <n v="387"/>
    <n v="30520"/>
    <n v="30059"/>
    <n v="174"/>
    <x v="4"/>
    <m/>
  </r>
  <r>
    <s v="P060"/>
    <x v="2"/>
    <d v="2025-01-28T00:00:00"/>
    <x v="5"/>
    <s v="Check out our latest video on instagram!"/>
    <n v="904"/>
    <n v="973"/>
    <n v="63"/>
    <n v="11752"/>
    <n v="11580"/>
    <n v="84"/>
    <x v="4"/>
    <s v="NewYearRefresh"/>
  </r>
  <r>
    <s v="P060"/>
    <x v="2"/>
    <d v="2025-01-28T00:00:00"/>
    <x v="5"/>
    <s v="Check out our latest video on instagram!"/>
    <n v="904"/>
    <n v="973"/>
    <n v="63"/>
    <n v="11752"/>
    <n v="11580"/>
    <n v="84"/>
    <x v="2"/>
    <s v="NewYearRefresh"/>
  </r>
  <r>
    <s v="P060"/>
    <x v="2"/>
    <d v="2025-01-28T00:00:00"/>
    <x v="5"/>
    <s v="Check out our latest video on instagram!"/>
    <n v="904"/>
    <n v="973"/>
    <n v="63"/>
    <n v="11752"/>
    <n v="11580"/>
    <n v="84"/>
    <x v="1"/>
    <s v="NewYearRefresh"/>
  </r>
  <r>
    <s v="P061"/>
    <x v="0"/>
    <d v="2024-09-05T00:00:00"/>
    <x v="5"/>
    <s v="Check out our latest video on twitter!"/>
    <n v="4886"/>
    <n v="983"/>
    <n v="409"/>
    <n v="43974"/>
    <n v="43239"/>
    <n v="65"/>
    <x v="2"/>
    <s v="SummerSplash"/>
  </r>
  <r>
    <s v="P062"/>
    <x v="0"/>
    <d v="2024-11-22T00:00:00"/>
    <x v="3"/>
    <s v="Check out our latest carousel on twitter!"/>
    <n v="53"/>
    <n v="81"/>
    <n v="379"/>
    <n v="954"/>
    <n v="7"/>
    <n v="148"/>
    <x v="2"/>
    <s v="NewYearRefresh"/>
  </r>
  <r>
    <s v="P063"/>
    <x v="0"/>
    <d v="2024-07-31T00:00:00"/>
    <x v="3"/>
    <s v="Check out our latest carousel on twitter!"/>
    <n v="4507"/>
    <n v="217"/>
    <n v="13"/>
    <n v="90140"/>
    <n v="89591"/>
    <n v="125"/>
    <x v="0"/>
    <s v="NewYearRefresh"/>
  </r>
  <r>
    <s v="P064"/>
    <x v="3"/>
    <d v="2024-08-17T00:00:00"/>
    <x v="4"/>
    <s v="Check out our latest image on facebook!"/>
    <n v="2878"/>
    <n v="248"/>
    <n v="416"/>
    <n v="43170"/>
    <n v="42667"/>
    <n v="75"/>
    <x v="0"/>
    <s v="NewYearRefresh"/>
  </r>
  <r>
    <s v="P065"/>
    <x v="2"/>
    <d v="2025-03-28T00:00:00"/>
    <x v="2"/>
    <s v="Check out our latest story on instagram!"/>
    <n v="1881"/>
    <n v="501"/>
    <n v="99"/>
    <n v="20691"/>
    <n v="19987"/>
    <n v="289"/>
    <x v="4"/>
    <m/>
  </r>
  <r>
    <s v="P066"/>
    <x v="0"/>
    <d v="2024-07-26T00:00:00"/>
    <x v="3"/>
    <s v="Check out our latest carousel on twitter!"/>
    <n v="432"/>
    <n v="171"/>
    <n v="280"/>
    <n v="3024"/>
    <n v="2285"/>
    <n v="184"/>
    <x v="4"/>
    <s v="SummerSplash"/>
  </r>
  <r>
    <s v="P067"/>
    <x v="3"/>
    <d v="2025-03-29T00:00:00"/>
    <x v="3"/>
    <s v="Check out our latest carousel on facebook!"/>
    <n v="4712"/>
    <n v="568"/>
    <n v="127"/>
    <n v="84816"/>
    <n v="84691"/>
    <n v="100"/>
    <x v="4"/>
    <s v="NewYearRefresh"/>
  </r>
  <r>
    <s v="P068"/>
    <x v="2"/>
    <d v="2024-12-08T00:00:00"/>
    <x v="2"/>
    <s v="Check out our latest story on instagram!"/>
    <n v="2610"/>
    <n v="126"/>
    <n v="288"/>
    <n v="15660"/>
    <n v="15145"/>
    <n v="73"/>
    <x v="4"/>
    <m/>
  </r>
  <r>
    <s v="P069"/>
    <x v="0"/>
    <d v="2025-03-08T00:00:00"/>
    <x v="1"/>
    <s v="Check out our latest text on twitter!"/>
    <n v="1292"/>
    <n v="626"/>
    <n v="496"/>
    <n v="25840"/>
    <n v="24916"/>
    <n v="149"/>
    <x v="0"/>
    <s v="NewYearRefresh"/>
  </r>
  <r>
    <s v="P070"/>
    <x v="3"/>
    <d v="2025-04-02T00:00:00"/>
    <x v="5"/>
    <s v="Check out our latest video on facebook!"/>
    <n v="199"/>
    <n v="772"/>
    <n v="400"/>
    <n v="3582"/>
    <n v="2988"/>
    <n v="43"/>
    <x v="2"/>
    <m/>
  </r>
  <r>
    <s v="P071"/>
    <x v="1"/>
    <d v="2024-09-02T00:00:00"/>
    <x v="3"/>
    <s v="Check out our latest carousel on youtube!"/>
    <n v="2551"/>
    <n v="915"/>
    <n v="205"/>
    <n v="30612"/>
    <n v="30360"/>
    <n v="227"/>
    <x v="2"/>
    <s v="FestiveRadiance"/>
  </r>
  <r>
    <s v="P072"/>
    <x v="1"/>
    <d v="2025-03-03T00:00:00"/>
    <x v="0"/>
    <s v="Check out our latest reel on youtube!"/>
    <n v="296"/>
    <n v="60"/>
    <n v="141"/>
    <n v="5624"/>
    <n v="5239"/>
    <n v="88"/>
    <x v="4"/>
    <s v="FestiveRadiance"/>
  </r>
  <r>
    <s v="P073"/>
    <x v="3"/>
    <d v="2024-10-18T00:00:00"/>
    <x v="2"/>
    <s v="Check out our latest story on facebook!"/>
    <n v="4126"/>
    <n v="426"/>
    <n v="486"/>
    <n v="78394"/>
    <n v="77798"/>
    <n v="88"/>
    <x v="0"/>
    <s v="DailyWellness"/>
  </r>
  <r>
    <s v="P074"/>
    <x v="1"/>
    <d v="2024-10-28T00:00:00"/>
    <x v="0"/>
    <s v="Check out our latest reel on youtube!"/>
    <n v="1855"/>
    <n v="200"/>
    <n v="174"/>
    <n v="16695"/>
    <n v="16330"/>
    <n v="123"/>
    <x v="2"/>
    <s v="NewYearRefresh"/>
  </r>
  <r>
    <s v="P075"/>
    <x v="2"/>
    <d v="2024-08-01T00:00:00"/>
    <x v="0"/>
    <s v="Check out our latest reel on instagram!"/>
    <n v="1674"/>
    <n v="929"/>
    <n v="37"/>
    <n v="21762"/>
    <n v="20998"/>
    <n v="255"/>
    <x v="2"/>
    <s v="DailyWellness"/>
  </r>
  <r>
    <s v="P076"/>
    <x v="0"/>
    <d v="2024-11-07T00:00:00"/>
    <x v="2"/>
    <s v="Check out our latest story on twitter!"/>
    <n v="1121"/>
    <n v="135"/>
    <n v="18"/>
    <n v="15694"/>
    <n v="14957"/>
    <n v="99"/>
    <x v="2"/>
    <s v="DailyWellness"/>
  </r>
  <r>
    <s v="P077"/>
    <x v="3"/>
    <d v="2025-03-04T00:00:00"/>
    <x v="2"/>
    <s v="Check out our latest story on facebook!"/>
    <n v="1249"/>
    <n v="116"/>
    <n v="420"/>
    <n v="8743"/>
    <n v="8538"/>
    <n v="63"/>
    <x v="2"/>
    <m/>
  </r>
  <r>
    <s v="P078"/>
    <x v="0"/>
    <d v="2024-06-17T00:00:00"/>
    <x v="4"/>
    <s v="Check out our latest image on twitter!"/>
    <n v="954"/>
    <n v="324"/>
    <n v="288"/>
    <n v="19080"/>
    <n v="18859"/>
    <n v="21"/>
    <x v="0"/>
    <s v="DailyWellness"/>
  </r>
  <r>
    <s v="P079"/>
    <x v="2"/>
    <d v="2024-10-09T00:00:00"/>
    <x v="3"/>
    <s v="Check out our latest carousel on instagram!"/>
    <n v="3068"/>
    <n v="137"/>
    <n v="329"/>
    <n v="39884"/>
    <n v="39404"/>
    <n v="266"/>
    <x v="4"/>
    <s v="FestiveRadiance"/>
  </r>
  <r>
    <s v="P080"/>
    <x v="2"/>
    <d v="2024-06-13T00:00:00"/>
    <x v="2"/>
    <s v="Check out our latest story on instagram!"/>
    <n v="2103"/>
    <n v="892"/>
    <n v="103"/>
    <n v="39957"/>
    <n v="39466"/>
    <n v="28"/>
    <x v="0"/>
    <m/>
  </r>
  <r>
    <s v="P081"/>
    <x v="2"/>
    <d v="2024-10-19T00:00:00"/>
    <x v="2"/>
    <s v="Check out our latest story on instagram!"/>
    <n v="1816"/>
    <n v="29"/>
    <n v="41"/>
    <n v="19976"/>
    <n v="19262"/>
    <n v="283"/>
    <x v="2"/>
    <s v="NewYearRefresh"/>
  </r>
  <r>
    <s v="P082"/>
    <x v="2"/>
    <d v="2024-07-24T00:00:00"/>
    <x v="4"/>
    <s v="Check out our latest image on instagram!"/>
    <n v="725"/>
    <n v="88"/>
    <n v="428"/>
    <n v="14500"/>
    <n v="13637"/>
    <n v="200"/>
    <x v="0"/>
    <s v="NewYearRefresh"/>
  </r>
  <r>
    <s v="P082"/>
    <x v="2"/>
    <d v="2024-07-24T00:00:00"/>
    <x v="4"/>
    <s v="Check out our latest image on instagram!"/>
    <n v="725"/>
    <n v="88"/>
    <n v="428"/>
    <n v="14500"/>
    <n v="13637"/>
    <n v="200"/>
    <x v="2"/>
    <s v="NewYearRefresh"/>
  </r>
  <r>
    <s v="P082"/>
    <x v="2"/>
    <d v="2024-07-24T00:00:00"/>
    <x v="4"/>
    <s v="Check out our latest image on instagram!"/>
    <n v="725"/>
    <n v="88"/>
    <n v="428"/>
    <n v="14500"/>
    <n v="13637"/>
    <n v="200"/>
    <x v="1"/>
    <s v="NewYearRefresh"/>
  </r>
  <r>
    <s v="P083"/>
    <x v="1"/>
    <d v="2024-10-15T00:00:00"/>
    <x v="5"/>
    <s v="Check out our latest video on youtube!"/>
    <n v="1094"/>
    <n v="472"/>
    <n v="21"/>
    <n v="9846"/>
    <n v="9609"/>
    <n v="112"/>
    <x v="4"/>
    <m/>
  </r>
  <r>
    <s v="P084"/>
    <x v="3"/>
    <d v="2024-12-09T00:00:00"/>
    <x v="4"/>
    <s v="Check out our latest image on facebook!"/>
    <n v="1841"/>
    <n v="851"/>
    <n v="342"/>
    <n v="34979"/>
    <n v="34154"/>
    <n v="255"/>
    <x v="0"/>
    <s v="DailyWellness"/>
  </r>
  <r>
    <s v="P085"/>
    <x v="2"/>
    <d v="2025-04-19T00:00:00"/>
    <x v="4"/>
    <s v="Check out our latest image on instagram!"/>
    <n v="4177"/>
    <n v="569"/>
    <n v="55"/>
    <n v="25062"/>
    <n v="24847"/>
    <n v="230"/>
    <x v="0"/>
    <s v="SummerSplash"/>
  </r>
  <r>
    <s v="P086"/>
    <x v="1"/>
    <d v="2025-01-27T00:00:00"/>
    <x v="1"/>
    <s v="Check out our latest text on youtube!"/>
    <n v="3428"/>
    <n v="305"/>
    <n v="85"/>
    <n v="58276"/>
    <n v="58052"/>
    <n v="242"/>
    <x v="4"/>
    <s v="DailyWellness"/>
  </r>
  <r>
    <s v="P086"/>
    <x v="1"/>
    <d v="2025-01-27T00:00:00"/>
    <x v="1"/>
    <s v="Check out our latest text on youtube!"/>
    <n v="3428"/>
    <n v="305"/>
    <n v="85"/>
    <n v="58276"/>
    <n v="58052"/>
    <n v="242"/>
    <x v="3"/>
    <s v="DailyWellness"/>
  </r>
  <r>
    <s v="P087"/>
    <x v="0"/>
    <d v="2024-06-06T00:00:00"/>
    <x v="5"/>
    <s v="Check out our latest video on twitter!"/>
    <n v="1436"/>
    <n v="765"/>
    <n v="496"/>
    <n v="12924"/>
    <n v="12701"/>
    <n v="197"/>
    <x v="0"/>
    <s v="NewYearRefresh"/>
  </r>
  <r>
    <s v="P088"/>
    <x v="3"/>
    <d v="2024-07-07T00:00:00"/>
    <x v="2"/>
    <s v="Check out our latest story on facebook!"/>
    <n v="302"/>
    <n v="47"/>
    <n v="430"/>
    <n v="5738"/>
    <n v="4890"/>
    <n v="25"/>
    <x v="2"/>
    <s v="DailyWellness"/>
  </r>
  <r>
    <s v="P089"/>
    <x v="0"/>
    <d v="2025-01-10T00:00:00"/>
    <x v="4"/>
    <s v="Check out our latest image on twitter!"/>
    <n v="2214"/>
    <n v="249"/>
    <n v="152"/>
    <n v="15498"/>
    <n v="14800"/>
    <n v="180"/>
    <x v="4"/>
    <m/>
  </r>
  <r>
    <s v="P090"/>
    <x v="2"/>
    <d v="2024-06-03T00:00:00"/>
    <x v="4"/>
    <s v="Check out our latest image on instagram!"/>
    <n v="3861"/>
    <n v="960"/>
    <n v="101"/>
    <n v="69498"/>
    <n v="68817"/>
    <n v="297"/>
    <x v="2"/>
    <s v="DailyWellness"/>
  </r>
  <r>
    <s v="P091"/>
    <x v="3"/>
    <d v="2025-03-24T00:00:00"/>
    <x v="4"/>
    <s v="Check out our latest image on facebook!"/>
    <n v="1263"/>
    <n v="397"/>
    <n v="357"/>
    <n v="25260"/>
    <n v="24615"/>
    <n v="137"/>
    <x v="4"/>
    <s v="DailyWellness"/>
  </r>
  <r>
    <s v="P092"/>
    <x v="0"/>
    <d v="2024-10-21T00:00:00"/>
    <x v="2"/>
    <s v="Check out our latest story on twitter!"/>
    <n v="3801"/>
    <n v="967"/>
    <n v="401"/>
    <n v="38010"/>
    <n v="37625"/>
    <n v="236"/>
    <x v="0"/>
    <s v="NewYearRefresh"/>
  </r>
  <r>
    <s v="P093"/>
    <x v="2"/>
    <d v="2024-12-11T00:00:00"/>
    <x v="5"/>
    <s v="Check out our latest video on instagram!"/>
    <n v="1431"/>
    <n v="951"/>
    <n v="26"/>
    <n v="8586"/>
    <n v="8396"/>
    <n v="150"/>
    <x v="4"/>
    <s v="NewYearRefresh"/>
  </r>
  <r>
    <s v="P094"/>
    <x v="2"/>
    <d v="2024-11-07T00:00:00"/>
    <x v="4"/>
    <s v="Check out our latest image on instagram!"/>
    <n v="2647"/>
    <n v="304"/>
    <n v="170"/>
    <n v="18529"/>
    <n v="17841"/>
    <n v="46"/>
    <x v="0"/>
    <s v="NewYearRefresh"/>
  </r>
  <r>
    <s v="P095"/>
    <x v="2"/>
    <d v="2024-11-08T00:00:00"/>
    <x v="1"/>
    <s v="Check out our latest text on instagram!"/>
    <n v="3182"/>
    <n v="559"/>
    <n v="160"/>
    <n v="57276"/>
    <n v="56890"/>
    <n v="163"/>
    <x v="0"/>
    <s v="DailyWellness"/>
  </r>
  <r>
    <s v="P096"/>
    <x v="0"/>
    <d v="2024-09-10T00:00:00"/>
    <x v="4"/>
    <s v="Check out our latest image on twitter!"/>
    <n v="1238"/>
    <n v="366"/>
    <n v="444"/>
    <n v="19808"/>
    <n v="19334"/>
    <n v="123"/>
    <x v="0"/>
    <m/>
  </r>
  <r>
    <s v="P097"/>
    <x v="2"/>
    <d v="2024-08-13T00:00:00"/>
    <x v="4"/>
    <s v="Check out our latest image on instagram!"/>
    <n v="4739"/>
    <n v="527"/>
    <n v="135"/>
    <n v="61607"/>
    <n v="61333"/>
    <n v="36"/>
    <x v="2"/>
    <s v="FestiveRadiance"/>
  </r>
  <r>
    <s v="P097"/>
    <x v="2"/>
    <d v="2024-08-13T00:00:00"/>
    <x v="4"/>
    <s v="Check out our latest image on instagram!"/>
    <n v="4739"/>
    <n v="527"/>
    <n v="135"/>
    <n v="61607"/>
    <n v="61333"/>
    <n v="36"/>
    <x v="1"/>
    <s v="FestiveRadiance"/>
  </r>
  <r>
    <s v="P098"/>
    <x v="0"/>
    <d v="2024-06-10T00:00:00"/>
    <x v="2"/>
    <s v="Check out our latest story on twitter!"/>
    <n v="1575"/>
    <n v="771"/>
    <n v="486"/>
    <n v="25200"/>
    <n v="24826"/>
    <n v="17"/>
    <x v="0"/>
    <s v="DailyWellness"/>
  </r>
  <r>
    <s v="P099"/>
    <x v="1"/>
    <d v="2024-07-02T00:00:00"/>
    <x v="3"/>
    <s v="Check out our latest carousel on youtube!"/>
    <n v="4171"/>
    <n v="548"/>
    <n v="86"/>
    <n v="66736"/>
    <n v="66634"/>
    <n v="173"/>
    <x v="0"/>
    <s v="NewYearRefresh"/>
  </r>
  <r>
    <s v="P100"/>
    <x v="1"/>
    <d v="2025-02-10T00:00:00"/>
    <x v="5"/>
    <s v="Check out our latest video on youtube!"/>
    <n v="1766"/>
    <n v="92"/>
    <n v="424"/>
    <n v="24724"/>
    <n v="24333"/>
    <n v="52"/>
    <x v="4"/>
    <m/>
  </r>
  <r>
    <s v="P101"/>
    <x v="1"/>
    <d v="2024-10-18T00:00:00"/>
    <x v="5"/>
    <s v="Check out our latest video on youtube!"/>
    <n v="4450"/>
    <n v="983"/>
    <n v="143"/>
    <n v="75650"/>
    <n v="75008"/>
    <n v="12"/>
    <x v="0"/>
    <s v="NewYearRefresh"/>
  </r>
  <r>
    <s v="P102"/>
    <x v="0"/>
    <d v="2024-09-18T00:00:00"/>
    <x v="0"/>
    <s v="Check out our latest reel on twitter!"/>
    <n v="1000"/>
    <n v="978"/>
    <n v="162"/>
    <n v="6000"/>
    <n v="5221"/>
    <n v="223"/>
    <x v="4"/>
    <s v="FestiveRadiance"/>
  </r>
  <r>
    <s v="P103"/>
    <x v="3"/>
    <d v="2024-06-11T00:00:00"/>
    <x v="4"/>
    <s v="Check out our latest image on facebook!"/>
    <n v="3689"/>
    <n v="48"/>
    <n v="306"/>
    <n v="40579"/>
    <n v="39588"/>
    <n v="212"/>
    <x v="4"/>
    <s v="FestiveRadiance"/>
  </r>
  <r>
    <s v="P104"/>
    <x v="1"/>
    <d v="2025-03-23T00:00:00"/>
    <x v="2"/>
    <s v="Check out our latest story on youtube!"/>
    <n v="3655"/>
    <n v="568"/>
    <n v="286"/>
    <n v="32895"/>
    <n v="32015"/>
    <n v="199"/>
    <x v="2"/>
    <s v="NewYearRefresh"/>
  </r>
  <r>
    <s v="P105"/>
    <x v="2"/>
    <d v="2024-06-14T00:00:00"/>
    <x v="3"/>
    <s v="Check out our latest carousel on instagram!"/>
    <n v="498"/>
    <n v="38"/>
    <n v="42"/>
    <n v="4482"/>
    <n v="3647"/>
    <n v="32"/>
    <x v="0"/>
    <s v="SummerSplash"/>
  </r>
  <r>
    <s v="P106"/>
    <x v="2"/>
    <d v="2025-02-04T00:00:00"/>
    <x v="4"/>
    <s v="Check out our latest image on instagram!"/>
    <n v="4619"/>
    <n v="821"/>
    <n v="499"/>
    <n v="69285"/>
    <n v="69141"/>
    <n v="298"/>
    <x v="2"/>
    <s v="DailyWellness"/>
  </r>
  <r>
    <s v="P107"/>
    <x v="1"/>
    <d v="2024-06-21T00:00:00"/>
    <x v="4"/>
    <s v="Check out our latest image on youtube!"/>
    <n v="4832"/>
    <n v="893"/>
    <n v="10"/>
    <n v="91808"/>
    <n v="91296"/>
    <n v="182"/>
    <x v="2"/>
    <m/>
  </r>
  <r>
    <s v="P108"/>
    <x v="0"/>
    <d v="2025-03-25T00:00:00"/>
    <x v="5"/>
    <s v="Check out our latest video on twitter!"/>
    <n v="4050"/>
    <n v="871"/>
    <n v="347"/>
    <n v="52650"/>
    <n v="51755"/>
    <n v="209"/>
    <x v="2"/>
    <s v="FestiveRadiance"/>
  </r>
  <r>
    <s v="P109"/>
    <x v="0"/>
    <d v="2024-08-08T00:00:00"/>
    <x v="2"/>
    <s v="Check out our latest story on twitter!"/>
    <n v="3649"/>
    <n v="215"/>
    <n v="413"/>
    <n v="25543"/>
    <n v="24963"/>
    <n v="167"/>
    <x v="0"/>
    <s v="NewYearRefresh"/>
  </r>
  <r>
    <s v="P110"/>
    <x v="2"/>
    <d v="2024-07-29T00:00:00"/>
    <x v="0"/>
    <s v="Check out our latest reel on instagram!"/>
    <n v="3523"/>
    <n v="753"/>
    <n v="482"/>
    <n v="38753"/>
    <n v="38579"/>
    <n v="270"/>
    <x v="4"/>
    <s v="FestiveRadiance"/>
  </r>
  <r>
    <s v="P111"/>
    <x v="1"/>
    <d v="2024-11-23T00:00:00"/>
    <x v="4"/>
    <s v="Check out our latest image on youtube!"/>
    <n v="2719"/>
    <n v="17"/>
    <n v="285"/>
    <n v="40785"/>
    <n v="40281"/>
    <n v="40"/>
    <x v="2"/>
    <s v="FestiveRadiance"/>
  </r>
  <r>
    <s v="P112"/>
    <x v="0"/>
    <d v="2024-10-05T00:00:00"/>
    <x v="2"/>
    <s v="Check out our latest story on twitter!"/>
    <n v="1957"/>
    <n v="877"/>
    <n v="238"/>
    <n v="17613"/>
    <n v="16865"/>
    <n v="297"/>
    <x v="0"/>
    <s v="NewYearRefresh"/>
  </r>
  <r>
    <s v="P113"/>
    <x v="0"/>
    <d v="2024-10-02T00:00:00"/>
    <x v="3"/>
    <s v="Check out our latest carousel on twitter!"/>
    <n v="4419"/>
    <n v="236"/>
    <n v="369"/>
    <n v="44190"/>
    <n v="43582"/>
    <n v="10"/>
    <x v="4"/>
    <s v="SummerSplash"/>
  </r>
  <r>
    <s v="P114"/>
    <x v="0"/>
    <d v="2024-11-14T00:00:00"/>
    <x v="2"/>
    <s v="Check out our latest story on twitter!"/>
    <n v="4000"/>
    <n v="689"/>
    <n v="488"/>
    <n v="40000"/>
    <n v="39569"/>
    <n v="44"/>
    <x v="0"/>
    <s v="SummerSplash"/>
  </r>
  <r>
    <s v="P115"/>
    <x v="0"/>
    <d v="2025-05-11T00:00:00"/>
    <x v="4"/>
    <s v="Check out our latest image on twitter!"/>
    <n v="2493"/>
    <n v="97"/>
    <n v="44"/>
    <n v="42381"/>
    <n v="41991"/>
    <n v="242"/>
    <x v="2"/>
    <s v="DailyWellness"/>
  </r>
  <r>
    <s v="P115"/>
    <x v="0"/>
    <d v="2025-05-11T00:00:00"/>
    <x v="4"/>
    <s v="Check out our latest image on twitter!"/>
    <n v="2493"/>
    <n v="97"/>
    <n v="44"/>
    <n v="42381"/>
    <n v="41991"/>
    <n v="242"/>
    <x v="1"/>
    <s v="DailyWellness"/>
  </r>
  <r>
    <s v="P116"/>
    <x v="1"/>
    <d v="2025-03-18T00:00:00"/>
    <x v="0"/>
    <s v="Check out our latest reel on youtube!"/>
    <n v="3704"/>
    <n v="186"/>
    <n v="458"/>
    <n v="25928"/>
    <n v="25081"/>
    <n v="131"/>
    <x v="2"/>
    <m/>
  </r>
  <r>
    <s v="P117"/>
    <x v="0"/>
    <d v="2024-11-04T00:00:00"/>
    <x v="4"/>
    <s v="Check out our latest image on twitter!"/>
    <n v="1606"/>
    <n v="451"/>
    <n v="405"/>
    <n v="20878"/>
    <n v="20190"/>
    <n v="219"/>
    <x v="4"/>
    <s v="DailyWellness"/>
  </r>
  <r>
    <s v="P118"/>
    <x v="3"/>
    <d v="2024-11-04T00:00:00"/>
    <x v="4"/>
    <s v="Check out our latest image on facebook!"/>
    <n v="4551"/>
    <n v="714"/>
    <n v="207"/>
    <n v="68265"/>
    <n v="67754"/>
    <n v="57"/>
    <x v="0"/>
    <s v="NewYearRefresh"/>
  </r>
  <r>
    <s v="P119"/>
    <x v="2"/>
    <d v="2025-02-07T00:00:00"/>
    <x v="0"/>
    <s v="Check out our latest reel on instagram!"/>
    <n v="1970"/>
    <n v="675"/>
    <n v="478"/>
    <n v="9850"/>
    <n v="8924"/>
    <n v="117"/>
    <x v="0"/>
    <m/>
  </r>
  <r>
    <s v="P120"/>
    <x v="3"/>
    <d v="2024-10-21T00:00:00"/>
    <x v="2"/>
    <s v="Check out our latest story on facebook!"/>
    <n v="780"/>
    <n v="928"/>
    <n v="301"/>
    <n v="8580"/>
    <n v="8081"/>
    <n v="91"/>
    <x v="4"/>
    <s v="NewYearRefresh"/>
  </r>
  <r>
    <s v="P121"/>
    <x v="2"/>
    <d v="2024-07-29T00:00:00"/>
    <x v="2"/>
    <s v="Check out our latest story on instagram!"/>
    <n v="498"/>
    <n v="701"/>
    <n v="412"/>
    <n v="4980"/>
    <n v="4185"/>
    <n v="185"/>
    <x v="0"/>
    <m/>
  </r>
  <r>
    <s v="P122"/>
    <x v="2"/>
    <d v="2024-10-02T00:00:00"/>
    <x v="1"/>
    <s v="Check out our latest text on instagram!"/>
    <n v="3432"/>
    <n v="869"/>
    <n v="123"/>
    <n v="54912"/>
    <n v="53916"/>
    <n v="264"/>
    <x v="4"/>
    <s v="FestiveRadiance"/>
  </r>
  <r>
    <s v="P123"/>
    <x v="2"/>
    <d v="2024-06-14T00:00:00"/>
    <x v="2"/>
    <s v="Check out our latest story on instagram!"/>
    <n v="4363"/>
    <n v="649"/>
    <n v="140"/>
    <n v="21815"/>
    <n v="21481"/>
    <n v="157"/>
    <x v="4"/>
    <s v="SummerSplash"/>
  </r>
  <r>
    <s v="P124"/>
    <x v="1"/>
    <d v="2025-04-06T00:00:00"/>
    <x v="3"/>
    <s v="Check out our latest carousel on youtube!"/>
    <n v="736"/>
    <n v="771"/>
    <n v="225"/>
    <n v="5152"/>
    <n v="4706"/>
    <n v="19"/>
    <x v="4"/>
    <s v="SummerSplash"/>
  </r>
  <r>
    <s v="P125"/>
    <x v="0"/>
    <d v="2024-09-08T00:00:00"/>
    <x v="3"/>
    <s v="Check out our latest carousel on twitter!"/>
    <n v="3811"/>
    <n v="866"/>
    <n v="216"/>
    <n v="34299"/>
    <n v="34088"/>
    <n v="233"/>
    <x v="2"/>
    <s v="DailyWellness"/>
  </r>
  <r>
    <s v="P126"/>
    <x v="2"/>
    <d v="2025-03-28T00:00:00"/>
    <x v="3"/>
    <s v="Check out our latest carousel on instagram!"/>
    <n v="4158"/>
    <n v="167"/>
    <n v="241"/>
    <n v="45738"/>
    <n v="45183"/>
    <n v="142"/>
    <x v="0"/>
    <m/>
  </r>
  <r>
    <s v="P127"/>
    <x v="3"/>
    <d v="2025-01-27T00:00:00"/>
    <x v="0"/>
    <s v="Check out our latest reel on facebook!"/>
    <n v="3452"/>
    <n v="652"/>
    <n v="442"/>
    <n v="65588"/>
    <n v="65049"/>
    <n v="158"/>
    <x v="0"/>
    <s v="NewYearRefresh"/>
  </r>
  <r>
    <s v="P128"/>
    <x v="0"/>
    <d v="2025-01-10T00:00:00"/>
    <x v="4"/>
    <s v="Check out our latest image on twitter!"/>
    <n v="3092"/>
    <n v="106"/>
    <n v="291"/>
    <n v="27828"/>
    <n v="27217"/>
    <n v="102"/>
    <x v="0"/>
    <m/>
  </r>
  <r>
    <s v="P129"/>
    <x v="0"/>
    <d v="2024-07-21T00:00:00"/>
    <x v="1"/>
    <s v="Check out our latest text on twitter!"/>
    <n v="2147"/>
    <n v="430"/>
    <n v="393"/>
    <n v="17176"/>
    <n v="16483"/>
    <n v="170"/>
    <x v="2"/>
    <m/>
  </r>
  <r>
    <s v="P130"/>
    <x v="1"/>
    <d v="2024-09-29T00:00:00"/>
    <x v="0"/>
    <s v="Check out our latest reel on youtube!"/>
    <n v="2936"/>
    <n v="439"/>
    <n v="44"/>
    <n v="38168"/>
    <n v="37571"/>
    <n v="22"/>
    <x v="4"/>
    <s v="DailyWellness"/>
  </r>
  <r>
    <s v="P131"/>
    <x v="2"/>
    <d v="2024-10-21T00:00:00"/>
    <x v="0"/>
    <s v="Check out our latest reel on instagram!"/>
    <n v="4840"/>
    <n v="658"/>
    <n v="211"/>
    <n v="43560"/>
    <n v="43225"/>
    <n v="57"/>
    <x v="0"/>
    <s v="NewYearRefresh"/>
  </r>
  <r>
    <s v="P132"/>
    <x v="2"/>
    <d v="2025-03-04T00:00:00"/>
    <x v="2"/>
    <s v="Check out our latest story on instagram!"/>
    <n v="1947"/>
    <n v="842"/>
    <n v="101"/>
    <n v="21417"/>
    <n v="20967"/>
    <n v="186"/>
    <x v="0"/>
    <s v="FestiveRadiance"/>
  </r>
  <r>
    <s v="P133"/>
    <x v="3"/>
    <d v="2025-02-06T00:00:00"/>
    <x v="4"/>
    <s v="Check out our latest image on facebook!"/>
    <n v="2072"/>
    <n v="532"/>
    <n v="71"/>
    <n v="37296"/>
    <n v="36467"/>
    <n v="25"/>
    <x v="2"/>
    <s v="DailyWellness"/>
  </r>
  <r>
    <s v="P134"/>
    <x v="0"/>
    <d v="2025-04-24T00:00:00"/>
    <x v="0"/>
    <s v="Check out our latest reel on twitter!"/>
    <n v="3731"/>
    <n v="115"/>
    <n v="135"/>
    <n v="55965"/>
    <n v="55436"/>
    <n v="103"/>
    <x v="2"/>
    <s v="SummerSplash"/>
  </r>
  <r>
    <s v="P135"/>
    <x v="3"/>
    <d v="2024-11-28T00:00:00"/>
    <x v="1"/>
    <s v="Check out our latest text on facebook!"/>
    <n v="4213"/>
    <n v="253"/>
    <n v="434"/>
    <n v="75834"/>
    <n v="75437"/>
    <n v="272"/>
    <x v="0"/>
    <s v="DailyWellness"/>
  </r>
  <r>
    <s v="P136"/>
    <x v="2"/>
    <d v="2024-07-11T00:00:00"/>
    <x v="1"/>
    <s v="Check out our latest text on instagram!"/>
    <n v="3134"/>
    <n v="888"/>
    <n v="444"/>
    <n v="21938"/>
    <n v="21337"/>
    <n v="130"/>
    <x v="4"/>
    <s v="DailyWellness"/>
  </r>
  <r>
    <s v="P137"/>
    <x v="3"/>
    <d v="2024-07-31T00:00:00"/>
    <x v="5"/>
    <s v="Check out our latest video on facebook!"/>
    <n v="3008"/>
    <n v="94"/>
    <n v="37"/>
    <n v="15040"/>
    <n v="14639"/>
    <n v="277"/>
    <x v="0"/>
    <m/>
  </r>
  <r>
    <s v="P138"/>
    <x v="0"/>
    <d v="2025-03-29T00:00:00"/>
    <x v="4"/>
    <s v="Check out our latest image on twitter!"/>
    <n v="305"/>
    <n v="187"/>
    <n v="243"/>
    <n v="4575"/>
    <n v="3704"/>
    <n v="234"/>
    <x v="0"/>
    <s v="NewYearRefresh"/>
  </r>
  <r>
    <s v="P139"/>
    <x v="1"/>
    <d v="2024-10-29T00:00:00"/>
    <x v="1"/>
    <s v="Check out our latest text on youtube!"/>
    <n v="2746"/>
    <n v="156"/>
    <n v="203"/>
    <n v="32952"/>
    <n v="32147"/>
    <n v="147"/>
    <x v="4"/>
    <s v="SummerSplash"/>
  </r>
  <r>
    <s v="P140"/>
    <x v="3"/>
    <d v="2024-07-15T00:00:00"/>
    <x v="4"/>
    <s v="Check out our latest image on facebook!"/>
    <n v="2291"/>
    <n v="78"/>
    <n v="485"/>
    <n v="18328"/>
    <n v="18101"/>
    <n v="10"/>
    <x v="4"/>
    <s v="FestiveRadiance"/>
  </r>
  <r>
    <s v="P140"/>
    <x v="3"/>
    <d v="2024-07-15T00:00:00"/>
    <x v="4"/>
    <s v="Check out our latest image on facebook!"/>
    <n v="2291"/>
    <n v="78"/>
    <n v="485"/>
    <n v="18328"/>
    <n v="18101"/>
    <n v="10"/>
    <x v="5"/>
    <s v="FestiveRadiance"/>
  </r>
  <r>
    <s v="P141"/>
    <x v="0"/>
    <d v="2024-08-31T00:00:00"/>
    <x v="4"/>
    <s v="Check out our latest image on twitter!"/>
    <n v="3170"/>
    <n v="857"/>
    <n v="379"/>
    <n v="19020"/>
    <n v="18559"/>
    <n v="240"/>
    <x v="0"/>
    <m/>
  </r>
  <r>
    <s v="P142"/>
    <x v="1"/>
    <d v="2025-03-25T00:00:00"/>
    <x v="2"/>
    <s v="Check out our latest story on youtube!"/>
    <n v="2070"/>
    <n v="275"/>
    <n v="386"/>
    <n v="39330"/>
    <n v="38627"/>
    <n v="114"/>
    <x v="0"/>
    <s v="DailyWellness"/>
  </r>
  <r>
    <s v="P143"/>
    <x v="1"/>
    <d v="2024-10-02T00:00:00"/>
    <x v="3"/>
    <s v="Check out our latest carousel on youtube!"/>
    <n v="80"/>
    <n v="362"/>
    <n v="80"/>
    <n v="1040"/>
    <n v="349"/>
    <n v="117"/>
    <x v="2"/>
    <s v="NewYearRefresh"/>
  </r>
  <r>
    <s v="P144"/>
    <x v="1"/>
    <d v="2024-10-28T00:00:00"/>
    <x v="2"/>
    <s v="Check out our latest story on youtube!"/>
    <n v="4929"/>
    <n v="749"/>
    <n v="452"/>
    <n v="93651"/>
    <n v="92810"/>
    <n v="66"/>
    <x v="4"/>
    <s v="DailyWellness"/>
  </r>
  <r>
    <s v="P145"/>
    <x v="2"/>
    <d v="2024-08-12T00:00:00"/>
    <x v="3"/>
    <s v="Check out our latest carousel on instagram!"/>
    <n v="1878"/>
    <n v="62"/>
    <n v="179"/>
    <n v="37560"/>
    <n v="36874"/>
    <n v="142"/>
    <x v="2"/>
    <s v="DailyWellness"/>
  </r>
  <r>
    <s v="P146"/>
    <x v="1"/>
    <d v="2024-06-05T00:00:00"/>
    <x v="0"/>
    <s v="Check out our latest reel on youtube!"/>
    <n v="3065"/>
    <n v="772"/>
    <n v="142"/>
    <n v="18390"/>
    <n v="17875"/>
    <n v="200"/>
    <x v="4"/>
    <m/>
  </r>
  <r>
    <s v="P146"/>
    <x v="1"/>
    <d v="2024-06-05T00:00:00"/>
    <x v="0"/>
    <s v="Check out our latest reel on youtube!"/>
    <n v="3065"/>
    <n v="772"/>
    <n v="142"/>
    <n v="18390"/>
    <n v="17875"/>
    <n v="200"/>
    <x v="1"/>
    <m/>
  </r>
  <r>
    <s v="P147"/>
    <x v="2"/>
    <d v="2024-10-21T00:00:00"/>
    <x v="0"/>
    <s v="Check out our latest reel on instagram!"/>
    <n v="3256"/>
    <n v="459"/>
    <n v="266"/>
    <n v="26048"/>
    <n v="25529"/>
    <n v="143"/>
    <x v="2"/>
    <s v="FestiveRadiance"/>
  </r>
  <r>
    <s v="P148"/>
    <x v="2"/>
    <d v="2025-04-15T00:00:00"/>
    <x v="5"/>
    <s v="Check out our latest video on instagram!"/>
    <n v="4133"/>
    <n v="466"/>
    <n v="327"/>
    <n v="24798"/>
    <n v="24620"/>
    <n v="176"/>
    <x v="4"/>
    <s v="DailyWellness"/>
  </r>
  <r>
    <s v="P149"/>
    <x v="0"/>
    <d v="2024-06-16T00:00:00"/>
    <x v="5"/>
    <s v="Check out our latest video on twitter!"/>
    <n v="1702"/>
    <n v="750"/>
    <n v="179"/>
    <n v="34040"/>
    <n v="33174"/>
    <n v="76"/>
    <x v="4"/>
    <s v="SummerSplash"/>
  </r>
  <r>
    <s v="P150"/>
    <x v="1"/>
    <d v="2024-08-22T00:00:00"/>
    <x v="3"/>
    <s v="Check out our latest carousel on youtube!"/>
    <n v="4295"/>
    <n v="853"/>
    <n v="325"/>
    <n v="85900"/>
    <n v="85788"/>
    <n v="290"/>
    <x v="2"/>
    <s v="DailyWellness"/>
  </r>
  <r>
    <s v="P151"/>
    <x v="2"/>
    <d v="2024-07-26T00:00:00"/>
    <x v="4"/>
    <s v="Check out our latest image on instagram!"/>
    <n v="3559"/>
    <n v="59"/>
    <n v="289"/>
    <n v="35590"/>
    <n v="35105"/>
    <n v="122"/>
    <x v="4"/>
    <s v="SummerSplash"/>
  </r>
  <r>
    <s v="P152"/>
    <x v="3"/>
    <d v="2025-04-22T00:00:00"/>
    <x v="4"/>
    <s v="Check out our latest image on facebook!"/>
    <n v="4804"/>
    <n v="550"/>
    <n v="270"/>
    <n v="28824"/>
    <n v="28370"/>
    <n v="47"/>
    <x v="4"/>
    <s v="DailyWellness"/>
  </r>
  <r>
    <s v="P153"/>
    <x v="0"/>
    <d v="2025-01-01T00:00:00"/>
    <x v="5"/>
    <s v="Check out our latest video on twitter!"/>
    <n v="754"/>
    <n v="197"/>
    <n v="257"/>
    <n v="6786"/>
    <n v="6221"/>
    <n v="212"/>
    <x v="2"/>
    <s v="NewYearRefresh"/>
  </r>
  <r>
    <s v="P154"/>
    <x v="2"/>
    <d v="2024-10-09T00:00:00"/>
    <x v="3"/>
    <s v="Check out our latest carousel on instagram!"/>
    <n v="985"/>
    <n v="932"/>
    <n v="287"/>
    <n v="6895"/>
    <n v="6757"/>
    <n v="64"/>
    <x v="0"/>
    <s v="DailyWellness"/>
  </r>
  <r>
    <s v="P155"/>
    <x v="1"/>
    <d v="2024-12-21T00:00:00"/>
    <x v="4"/>
    <s v="Check out our latest image on youtube!"/>
    <n v="2283"/>
    <n v="210"/>
    <n v="130"/>
    <n v="22830"/>
    <n v="22617"/>
    <n v="143"/>
    <x v="0"/>
    <s v="FestiveRadiance"/>
  </r>
  <r>
    <s v="P156"/>
    <x v="3"/>
    <d v="2024-10-22T00:00:00"/>
    <x v="3"/>
    <s v="Check out our latest carousel on facebook!"/>
    <n v="3352"/>
    <n v="941"/>
    <n v="482"/>
    <n v="43576"/>
    <n v="43338"/>
    <n v="240"/>
    <x v="0"/>
    <s v="FestiveRadiance"/>
  </r>
  <r>
    <s v="P157"/>
    <x v="1"/>
    <d v="2024-07-23T00:00:00"/>
    <x v="2"/>
    <s v="Check out our latest story on youtube!"/>
    <n v="4775"/>
    <n v="173"/>
    <n v="206"/>
    <n v="47750"/>
    <n v="47544"/>
    <n v="187"/>
    <x v="0"/>
    <s v="FestiveRadiance"/>
  </r>
  <r>
    <s v="P158"/>
    <x v="2"/>
    <d v="2024-08-11T00:00:00"/>
    <x v="2"/>
    <s v="Check out our latest story on instagram!"/>
    <n v="1762"/>
    <n v="405"/>
    <n v="423"/>
    <n v="22906"/>
    <n v="21925"/>
    <n v="25"/>
    <x v="2"/>
    <s v="SummerSplash"/>
  </r>
  <r>
    <s v="P159"/>
    <x v="3"/>
    <d v="2024-11-25T00:00:00"/>
    <x v="2"/>
    <s v="Check out our latest story on facebook!"/>
    <n v="2120"/>
    <n v="158"/>
    <n v="488"/>
    <n v="12720"/>
    <n v="12085"/>
    <n v="17"/>
    <x v="0"/>
    <s v="FestiveRadiance"/>
  </r>
  <r>
    <s v="P160"/>
    <x v="0"/>
    <d v="2024-08-24T00:00:00"/>
    <x v="5"/>
    <s v="Check out our latest video on twitter!"/>
    <n v="1082"/>
    <n v="209"/>
    <n v="484"/>
    <n v="19476"/>
    <n v="18654"/>
    <n v="20"/>
    <x v="2"/>
    <m/>
  </r>
  <r>
    <s v="P161"/>
    <x v="0"/>
    <d v="2025-02-19T00:00:00"/>
    <x v="1"/>
    <s v="Check out our latest text on twitter!"/>
    <n v="4671"/>
    <n v="876"/>
    <n v="366"/>
    <n v="51381"/>
    <n v="50565"/>
    <n v="245"/>
    <x v="2"/>
    <s v="DailyWellness"/>
  </r>
  <r>
    <s v="P162"/>
    <x v="3"/>
    <d v="2025-04-01T00:00:00"/>
    <x v="2"/>
    <s v="Check out our latest story on facebook!"/>
    <n v="3430"/>
    <n v="566"/>
    <n v="164"/>
    <n v="48020"/>
    <n v="47305"/>
    <n v="120"/>
    <x v="0"/>
    <m/>
  </r>
  <r>
    <s v="P163"/>
    <x v="2"/>
    <d v="2025-04-08T00:00:00"/>
    <x v="4"/>
    <s v="Check out our latest image on instagram!"/>
    <n v="4501"/>
    <n v="375"/>
    <n v="323"/>
    <n v="22505"/>
    <n v="21836"/>
    <n v="132"/>
    <x v="2"/>
    <s v="FestiveRadiance"/>
  </r>
  <r>
    <s v="P164"/>
    <x v="1"/>
    <d v="2025-02-27T00:00:00"/>
    <x v="1"/>
    <s v="Check out our latest text on youtube!"/>
    <n v="4934"/>
    <n v="971"/>
    <n v="156"/>
    <n v="39472"/>
    <n v="39025"/>
    <n v="169"/>
    <x v="2"/>
    <s v="DailyWellness"/>
  </r>
  <r>
    <s v="P164"/>
    <x v="1"/>
    <d v="2025-02-27T00:00:00"/>
    <x v="1"/>
    <s v="Check out our latest text on youtube!"/>
    <n v="4934"/>
    <n v="971"/>
    <n v="156"/>
    <n v="39472"/>
    <n v="39025"/>
    <n v="169"/>
    <x v="1"/>
    <s v="DailyWellness"/>
  </r>
  <r>
    <s v="P165"/>
    <x v="0"/>
    <d v="2024-12-11T00:00:00"/>
    <x v="1"/>
    <s v="Check out our latest text on twitter!"/>
    <n v="3239"/>
    <n v="43"/>
    <n v="211"/>
    <n v="22673"/>
    <n v="22171"/>
    <n v="230"/>
    <x v="2"/>
    <s v="FestiveRadiance"/>
  </r>
  <r>
    <s v="P166"/>
    <x v="0"/>
    <d v="2025-02-16T00:00:00"/>
    <x v="0"/>
    <s v="Check out our latest reel on twitter!"/>
    <n v="1076"/>
    <n v="313"/>
    <n v="306"/>
    <n v="11836"/>
    <n v="11596"/>
    <n v="104"/>
    <x v="0"/>
    <s v="SummerSplash"/>
  </r>
  <r>
    <s v="P167"/>
    <x v="2"/>
    <d v="2024-11-28T00:00:00"/>
    <x v="1"/>
    <s v="Check out our latest text on instagram!"/>
    <n v="4771"/>
    <n v="818"/>
    <n v="56"/>
    <n v="57252"/>
    <n v="56378"/>
    <n v="150"/>
    <x v="0"/>
    <m/>
  </r>
  <r>
    <s v="P168"/>
    <x v="3"/>
    <d v="2024-11-12T00:00:00"/>
    <x v="1"/>
    <s v="Check out our latest text on facebook!"/>
    <n v="2418"/>
    <n v="754"/>
    <n v="54"/>
    <n v="43524"/>
    <n v="42743"/>
    <n v="182"/>
    <x v="4"/>
    <s v="SummerSplash"/>
  </r>
  <r>
    <s v="P169"/>
    <x v="1"/>
    <d v="2024-12-03T00:00:00"/>
    <x v="5"/>
    <s v="Check out our latest video on youtube!"/>
    <n v="3809"/>
    <n v="273"/>
    <n v="200"/>
    <n v="34281"/>
    <n v="33534"/>
    <n v="83"/>
    <x v="4"/>
    <s v="SummerSplash"/>
  </r>
  <r>
    <s v="P170"/>
    <x v="0"/>
    <d v="2025-04-28T00:00:00"/>
    <x v="1"/>
    <s v="Check out our latest text on twitter!"/>
    <n v="3577"/>
    <n v="596"/>
    <n v="493"/>
    <n v="67963"/>
    <n v="67839"/>
    <n v="53"/>
    <x v="2"/>
    <s v="NewYearRefresh"/>
  </r>
  <r>
    <s v="P171"/>
    <x v="1"/>
    <d v="2024-12-31T00:00:00"/>
    <x v="5"/>
    <s v="Check out our latest video on youtube!"/>
    <n v="1018"/>
    <n v="447"/>
    <n v="332"/>
    <n v="18324"/>
    <n v="18164"/>
    <n v="38"/>
    <x v="0"/>
    <s v="FestiveRadiance"/>
  </r>
  <r>
    <s v="P172"/>
    <x v="3"/>
    <d v="2024-08-14T00:00:00"/>
    <x v="3"/>
    <s v="Check out our latest carousel on facebook!"/>
    <n v="3073"/>
    <n v="553"/>
    <n v="174"/>
    <n v="52241"/>
    <n v="51605"/>
    <n v="246"/>
    <x v="4"/>
    <s v="NewYearRefresh"/>
  </r>
  <r>
    <s v="P173"/>
    <x v="0"/>
    <d v="2024-12-05T00:00:00"/>
    <x v="5"/>
    <s v="Check out our latest video on twitter!"/>
    <n v="1330"/>
    <n v="925"/>
    <n v="35"/>
    <n v="15960"/>
    <n v="15379"/>
    <n v="229"/>
    <x v="0"/>
    <s v="NewYearRefresh"/>
  </r>
  <r>
    <s v="P174"/>
    <x v="3"/>
    <d v="2024-06-22T00:00:00"/>
    <x v="1"/>
    <s v="Check out our latest text on facebook!"/>
    <n v="3828"/>
    <n v="148"/>
    <n v="253"/>
    <n v="30624"/>
    <n v="30229"/>
    <n v="235"/>
    <x v="4"/>
    <m/>
  </r>
  <r>
    <s v="P175"/>
    <x v="2"/>
    <d v="2025-01-17T00:00:00"/>
    <x v="0"/>
    <s v="Check out our latest reel on instagram!"/>
    <n v="142"/>
    <n v="784"/>
    <n v="183"/>
    <n v="1704"/>
    <n v="995"/>
    <n v="154"/>
    <x v="0"/>
    <s v="DailyWellness"/>
  </r>
  <r>
    <s v="P176"/>
    <x v="3"/>
    <d v="2024-06-20T00:00:00"/>
    <x v="5"/>
    <s v="Check out our latest video on facebook!"/>
    <n v="3798"/>
    <n v="31"/>
    <n v="279"/>
    <n v="75960"/>
    <n v="75813"/>
    <n v="266"/>
    <x v="2"/>
    <s v="SummerSplash"/>
  </r>
  <r>
    <s v="P177"/>
    <x v="2"/>
    <d v="2024-07-10T00:00:00"/>
    <x v="3"/>
    <s v="Check out our latest carousel on instagram!"/>
    <n v="3099"/>
    <n v="694"/>
    <n v="171"/>
    <n v="43386"/>
    <n v="42921"/>
    <n v="52"/>
    <x v="2"/>
    <s v="NewYearRefresh"/>
  </r>
  <r>
    <s v="P178"/>
    <x v="2"/>
    <d v="2024-11-07T00:00:00"/>
    <x v="5"/>
    <s v="Check out our latest video on instagram!"/>
    <n v="129"/>
    <n v="643"/>
    <n v="136"/>
    <n v="1290"/>
    <n v="839"/>
    <n v="238"/>
    <x v="2"/>
    <s v="DailyWellness"/>
  </r>
  <r>
    <s v="P179"/>
    <x v="3"/>
    <d v="2024-07-15T00:00:00"/>
    <x v="3"/>
    <s v="Check out our latest carousel on facebook!"/>
    <n v="3796"/>
    <n v="667"/>
    <n v="395"/>
    <n v="64532"/>
    <n v="63550"/>
    <n v="292"/>
    <x v="2"/>
    <m/>
  </r>
  <r>
    <s v="P180"/>
    <x v="1"/>
    <d v="2024-12-03T00:00:00"/>
    <x v="1"/>
    <s v="Check out our latest text on youtube!"/>
    <n v="3711"/>
    <n v="352"/>
    <n v="290"/>
    <n v="48243"/>
    <n v="47579"/>
    <n v="11"/>
    <x v="2"/>
    <s v="SummerSplash"/>
  </r>
  <r>
    <s v="P181"/>
    <x v="1"/>
    <d v="2025-03-21T00:00:00"/>
    <x v="4"/>
    <s v="Check out our latest image on youtube!"/>
    <n v="606"/>
    <n v="789"/>
    <n v="470"/>
    <n v="7878"/>
    <n v="7389"/>
    <n v="239"/>
    <x v="4"/>
    <s v="NewYearRefresh"/>
  </r>
  <r>
    <s v="P182"/>
    <x v="3"/>
    <d v="2024-07-31T00:00:00"/>
    <x v="4"/>
    <s v="Check out our latest image on facebook!"/>
    <n v="4689"/>
    <n v="134"/>
    <n v="403"/>
    <n v="51579"/>
    <n v="50924"/>
    <n v="173"/>
    <x v="2"/>
    <s v="DailyWellness"/>
  </r>
  <r>
    <s v="P183"/>
    <x v="2"/>
    <d v="2024-12-17T00:00:00"/>
    <x v="2"/>
    <s v="Check out our latest story on instagram!"/>
    <n v="360"/>
    <n v="590"/>
    <n v="393"/>
    <n v="4680"/>
    <n v="4322"/>
    <n v="208"/>
    <x v="0"/>
    <s v="FestiveRadiance"/>
  </r>
  <r>
    <s v="P184"/>
    <x v="0"/>
    <d v="2024-07-28T00:00:00"/>
    <x v="4"/>
    <s v="Check out our latest image on twitter!"/>
    <n v="3215"/>
    <n v="960"/>
    <n v="202"/>
    <n v="32150"/>
    <n v="31404"/>
    <n v="251"/>
    <x v="4"/>
    <s v="SummerSplash"/>
  </r>
  <r>
    <s v="P185"/>
    <x v="2"/>
    <d v="2025-01-11T00:00:00"/>
    <x v="3"/>
    <s v="Check out our latest carousel on instagram!"/>
    <n v="4523"/>
    <n v="61"/>
    <n v="157"/>
    <n v="49753"/>
    <n v="49329"/>
    <n v="71"/>
    <x v="4"/>
    <m/>
  </r>
  <r>
    <s v="P186"/>
    <x v="3"/>
    <d v="2024-08-24T00:00:00"/>
    <x v="3"/>
    <s v="Check out our latest carousel on facebook!"/>
    <n v="4292"/>
    <n v="51"/>
    <n v="392"/>
    <n v="55796"/>
    <n v="54826"/>
    <n v="264"/>
    <x v="4"/>
    <s v="NewYearRefresh"/>
  </r>
  <r>
    <s v="P187"/>
    <x v="0"/>
    <d v="2024-12-22T00:00:00"/>
    <x v="0"/>
    <s v="Check out our latest reel on twitter!"/>
    <n v="1644"/>
    <n v="546"/>
    <n v="150"/>
    <n v="27948"/>
    <n v="27184"/>
    <n v="300"/>
    <x v="4"/>
    <s v="NewYearRefresh"/>
  </r>
  <r>
    <s v="P188"/>
    <x v="1"/>
    <d v="2024-06-06T00:00:00"/>
    <x v="0"/>
    <s v="Check out our latest reel on youtube!"/>
    <n v="2728"/>
    <n v="533"/>
    <n v="215"/>
    <n v="40920"/>
    <n v="40816"/>
    <n v="137"/>
    <x v="0"/>
    <s v="FestiveRadiance"/>
  </r>
  <r>
    <s v="P189"/>
    <x v="3"/>
    <d v="2025-03-24T00:00:00"/>
    <x v="0"/>
    <s v="Check out our latest reel on facebook!"/>
    <n v="3360"/>
    <n v="525"/>
    <n v="500"/>
    <n v="60480"/>
    <n v="59610"/>
    <n v="192"/>
    <x v="2"/>
    <s v="SummerSplash"/>
  </r>
  <r>
    <s v="P190"/>
    <x v="1"/>
    <d v="2024-10-04T00:00:00"/>
    <x v="1"/>
    <s v="Check out our latest text on youtube!"/>
    <n v="1963"/>
    <n v="213"/>
    <n v="19"/>
    <n v="39260"/>
    <n v="38771"/>
    <n v="145"/>
    <x v="0"/>
    <m/>
  </r>
  <r>
    <s v="P191"/>
    <x v="1"/>
    <d v="2024-12-03T00:00:00"/>
    <x v="2"/>
    <s v="Check out our latest story on youtube!"/>
    <n v="4285"/>
    <n v="886"/>
    <n v="376"/>
    <n v="55705"/>
    <n v="55556"/>
    <n v="51"/>
    <x v="0"/>
    <s v="NewYearRefresh"/>
  </r>
  <r>
    <s v="P192"/>
    <x v="2"/>
    <d v="2024-11-29T00:00:00"/>
    <x v="5"/>
    <s v="Check out our latest video on instagram!"/>
    <n v="1176"/>
    <n v="464"/>
    <n v="394"/>
    <n v="14112"/>
    <n v="13588"/>
    <n v="272"/>
    <x v="4"/>
    <m/>
  </r>
  <r>
    <s v="P193"/>
    <x v="0"/>
    <d v="2024-09-11T00:00:00"/>
    <x v="4"/>
    <s v="Check out our latest image on twitter!"/>
    <n v="4858"/>
    <n v="317"/>
    <n v="129"/>
    <n v="53438"/>
    <n v="52687"/>
    <n v="223"/>
    <x v="4"/>
    <s v="NewYearRefresh"/>
  </r>
  <r>
    <s v="P194"/>
    <x v="1"/>
    <d v="2024-10-02T00:00:00"/>
    <x v="2"/>
    <s v="Check out our latest story on youtube!"/>
    <n v="4350"/>
    <n v="771"/>
    <n v="7"/>
    <n v="60900"/>
    <n v="60592"/>
    <n v="195"/>
    <x v="4"/>
    <s v="SummerSplash"/>
  </r>
  <r>
    <s v="P195"/>
    <x v="2"/>
    <d v="2024-08-15T00:00:00"/>
    <x v="3"/>
    <s v="Check out our latest carousel on instagram!"/>
    <n v="914"/>
    <n v="464"/>
    <n v="246"/>
    <n v="11882"/>
    <n v="11500"/>
    <n v="282"/>
    <x v="0"/>
    <s v="DailyWellness"/>
  </r>
  <r>
    <s v="P195"/>
    <x v="2"/>
    <d v="2024-08-15T00:00:00"/>
    <x v="3"/>
    <s v="Check out our latest carousel on instagram!"/>
    <n v="914"/>
    <n v="464"/>
    <n v="246"/>
    <n v="11882"/>
    <n v="11500"/>
    <n v="282"/>
    <x v="2"/>
    <s v="DailyWellness"/>
  </r>
  <r>
    <s v="P195"/>
    <x v="2"/>
    <d v="2024-08-15T00:00:00"/>
    <x v="3"/>
    <s v="Check out our latest carousel on instagram!"/>
    <n v="914"/>
    <n v="464"/>
    <n v="246"/>
    <n v="11882"/>
    <n v="11500"/>
    <n v="282"/>
    <x v="1"/>
    <s v="DailyWellness"/>
  </r>
  <r>
    <s v="P196"/>
    <x v="2"/>
    <d v="2024-12-19T00:00:00"/>
    <x v="1"/>
    <s v="Check out our latest text on instagram!"/>
    <n v="1813"/>
    <n v="623"/>
    <n v="72"/>
    <n v="19943"/>
    <n v="18959"/>
    <n v="85"/>
    <x v="4"/>
    <s v="NewYearRefresh"/>
  </r>
  <r>
    <s v="P197"/>
    <x v="0"/>
    <d v="2024-10-22T00:00:00"/>
    <x v="0"/>
    <s v="Check out our latest reel on twitter!"/>
    <n v="4782"/>
    <n v="721"/>
    <n v="82"/>
    <n v="86076"/>
    <n v="85339"/>
    <n v="19"/>
    <x v="4"/>
    <s v="SummerSplash"/>
  </r>
  <r>
    <s v="P198"/>
    <x v="0"/>
    <d v="2024-09-14T00:00:00"/>
    <x v="4"/>
    <s v="Check out our latest image on twitter!"/>
    <n v="1048"/>
    <n v="374"/>
    <n v="450"/>
    <n v="9432"/>
    <n v="8882"/>
    <n v="158"/>
    <x v="2"/>
    <s v="NewYearRefresh"/>
  </r>
  <r>
    <s v="P199"/>
    <x v="1"/>
    <d v="2024-11-30T00:00:00"/>
    <x v="3"/>
    <s v="Check out our latest carousel on youtube!"/>
    <n v="2509"/>
    <n v="324"/>
    <n v="171"/>
    <n v="35126"/>
    <n v="34685"/>
    <n v="277"/>
    <x v="2"/>
    <s v="FestiveRadiance"/>
  </r>
  <r>
    <s v="P200"/>
    <x v="3"/>
    <d v="2025-04-07T00:00:00"/>
    <x v="0"/>
    <s v="Check out our latest reel on facebook!"/>
    <n v="3718"/>
    <n v="385"/>
    <n v="310"/>
    <n v="70642"/>
    <n v="69749"/>
    <n v="233"/>
    <x v="2"/>
    <s v="FestiveRadiance"/>
  </r>
  <r>
    <s v="P201"/>
    <x v="0"/>
    <d v="2025-01-15T00:00:00"/>
    <x v="0"/>
    <s v="Check out our latest reel on twitter!"/>
    <n v="802"/>
    <n v="262"/>
    <n v="244"/>
    <n v="14436"/>
    <n v="14280"/>
    <n v="49"/>
    <x v="4"/>
    <s v="SummerSplash"/>
  </r>
  <r>
    <s v="P202"/>
    <x v="3"/>
    <d v="2024-06-02T00:00:00"/>
    <x v="4"/>
    <s v="Check out our latest image on facebook!"/>
    <n v="1871"/>
    <n v="252"/>
    <n v="335"/>
    <n v="29936"/>
    <n v="29576"/>
    <n v="288"/>
    <x v="4"/>
    <s v="NewYearRefresh"/>
  </r>
  <r>
    <s v="P203"/>
    <x v="2"/>
    <d v="2024-11-21T00:00:00"/>
    <x v="3"/>
    <s v="Check out our latest carousel on instagram!"/>
    <n v="3773"/>
    <n v="299"/>
    <n v="38"/>
    <n v="71687"/>
    <n v="71447"/>
    <n v="286"/>
    <x v="0"/>
    <s v="SummerSplash"/>
  </r>
  <r>
    <s v="P204"/>
    <x v="2"/>
    <d v="2025-01-01T00:00:00"/>
    <x v="3"/>
    <s v="Check out our latest carousel on instagram!"/>
    <n v="2234"/>
    <n v="653"/>
    <n v="432"/>
    <n v="11170"/>
    <n v="10569"/>
    <n v="198"/>
    <x v="0"/>
    <s v="NewYearRefresh"/>
  </r>
  <r>
    <s v="P205"/>
    <x v="0"/>
    <d v="2025-04-24T00:00:00"/>
    <x v="5"/>
    <s v="Check out our latest video on twitter!"/>
    <n v="3820"/>
    <n v="697"/>
    <n v="268"/>
    <n v="45840"/>
    <n v="45631"/>
    <n v="171"/>
    <x v="2"/>
    <s v="DailyWellness"/>
  </r>
  <r>
    <s v="P205"/>
    <x v="0"/>
    <d v="2025-04-24T00:00:00"/>
    <x v="5"/>
    <s v="Check out our latest video on twitter!"/>
    <n v="3820"/>
    <n v="697"/>
    <n v="268"/>
    <n v="45840"/>
    <n v="45631"/>
    <n v="171"/>
    <x v="5"/>
    <s v="DailyWellness"/>
  </r>
  <r>
    <s v="P206"/>
    <x v="0"/>
    <d v="2024-06-24T00:00:00"/>
    <x v="1"/>
    <s v="Check out our latest text on twitter!"/>
    <n v="941"/>
    <n v="121"/>
    <n v="458"/>
    <n v="14115"/>
    <n v="13838"/>
    <n v="87"/>
    <x v="4"/>
    <s v="SummerSplash"/>
  </r>
  <r>
    <s v="P207"/>
    <x v="0"/>
    <d v="2024-12-29T00:00:00"/>
    <x v="3"/>
    <s v="Check out our latest carousel on twitter!"/>
    <n v="4274"/>
    <n v="340"/>
    <n v="281"/>
    <n v="34192"/>
    <n v="33446"/>
    <n v="129"/>
    <x v="2"/>
    <s v="NewYearRefresh"/>
  </r>
  <r>
    <s v="P207"/>
    <x v="0"/>
    <d v="2024-12-29T00:00:00"/>
    <x v="3"/>
    <s v="Check out our latest carousel on twitter!"/>
    <n v="4274"/>
    <n v="340"/>
    <n v="281"/>
    <n v="34192"/>
    <n v="33446"/>
    <n v="129"/>
    <x v="5"/>
    <s v="NewYearRefresh"/>
  </r>
  <r>
    <s v="P208"/>
    <x v="1"/>
    <d v="2024-06-24T00:00:00"/>
    <x v="5"/>
    <s v="Check out our latest video on youtube!"/>
    <n v="2949"/>
    <n v="476"/>
    <n v="403"/>
    <n v="44235"/>
    <n v="43705"/>
    <n v="135"/>
    <x v="2"/>
    <s v="FestiveRadiance"/>
  </r>
  <r>
    <s v="P209"/>
    <x v="0"/>
    <d v="2025-03-19T00:00:00"/>
    <x v="5"/>
    <s v="Check out our latest video on twitter!"/>
    <n v="3160"/>
    <n v="204"/>
    <n v="297"/>
    <n v="44240"/>
    <n v="43666"/>
    <n v="49"/>
    <x v="0"/>
    <s v="DailyWellness"/>
  </r>
  <r>
    <s v="P209"/>
    <x v="0"/>
    <d v="2025-03-19T00:00:00"/>
    <x v="5"/>
    <s v="Check out our latest video on twitter!"/>
    <n v="3160"/>
    <n v="204"/>
    <n v="297"/>
    <n v="44240"/>
    <n v="43666"/>
    <n v="49"/>
    <x v="1"/>
    <s v="DailyWellness"/>
  </r>
  <r>
    <s v="P210"/>
    <x v="1"/>
    <d v="2025-02-19T00:00:00"/>
    <x v="4"/>
    <s v="Check out our latest image on youtube!"/>
    <n v="257"/>
    <n v="966"/>
    <n v="398"/>
    <n v="3341"/>
    <n v="2753"/>
    <n v="287"/>
    <x v="0"/>
    <s v="SummerSplash"/>
  </r>
  <r>
    <s v="P211"/>
    <x v="0"/>
    <d v="2024-07-18T00:00:00"/>
    <x v="3"/>
    <s v="Check out our latest carousel on twitter!"/>
    <n v="2120"/>
    <n v="38"/>
    <n v="212"/>
    <n v="12720"/>
    <n v="12564"/>
    <n v="21"/>
    <x v="0"/>
    <s v="DailyWellness"/>
  </r>
  <r>
    <s v="P212"/>
    <x v="1"/>
    <d v="2025-03-03T00:00:00"/>
    <x v="5"/>
    <s v="Check out our latest video on youtube!"/>
    <n v="3874"/>
    <n v="884"/>
    <n v="19"/>
    <n v="38740"/>
    <n v="38552"/>
    <n v="219"/>
    <x v="2"/>
    <s v="FestiveRadiance"/>
  </r>
  <r>
    <s v="P213"/>
    <x v="3"/>
    <d v="2025-05-01T00:00:00"/>
    <x v="3"/>
    <s v="Check out our latest carousel on facebook!"/>
    <n v="2696"/>
    <n v="628"/>
    <n v="443"/>
    <n v="45832"/>
    <n v="45632"/>
    <n v="248"/>
    <x v="4"/>
    <s v="DailyWellness"/>
  </r>
  <r>
    <s v="P214"/>
    <x v="2"/>
    <d v="2024-12-23T00:00:00"/>
    <x v="4"/>
    <s v="Check out our latest image on instagram!"/>
    <n v="521"/>
    <n v="746"/>
    <n v="315"/>
    <n v="4168"/>
    <n v="3399"/>
    <n v="282"/>
    <x v="0"/>
    <s v="FestiveRadiance"/>
  </r>
  <r>
    <s v="P215"/>
    <x v="3"/>
    <d v="2025-05-06T00:00:00"/>
    <x v="4"/>
    <s v="Check out our latest image on facebook!"/>
    <n v="4872"/>
    <n v="925"/>
    <n v="176"/>
    <n v="82824"/>
    <n v="82543"/>
    <n v="89"/>
    <x v="4"/>
    <s v="FestiveRadiance"/>
  </r>
  <r>
    <s v="P216"/>
    <x v="1"/>
    <d v="2024-07-29T00:00:00"/>
    <x v="2"/>
    <s v="Check out our latest story on youtube!"/>
    <n v="1509"/>
    <n v="88"/>
    <n v="163"/>
    <n v="30180"/>
    <n v="29689"/>
    <n v="119"/>
    <x v="4"/>
    <s v="FestiveRadiance"/>
  </r>
  <r>
    <s v="P217"/>
    <x v="3"/>
    <d v="2024-12-03T00:00:00"/>
    <x v="4"/>
    <s v="Check out our latest image on facebook!"/>
    <n v="4606"/>
    <n v="931"/>
    <n v="230"/>
    <n v="92120"/>
    <n v="91440"/>
    <n v="56"/>
    <x v="2"/>
    <m/>
  </r>
  <r>
    <s v="P218"/>
    <x v="3"/>
    <d v="2024-06-11T00:00:00"/>
    <x v="3"/>
    <s v="Check out our latest carousel on facebook!"/>
    <n v="1869"/>
    <n v="453"/>
    <n v="490"/>
    <n v="14952"/>
    <n v="14309"/>
    <n v="275"/>
    <x v="2"/>
    <s v="DailyWellness"/>
  </r>
  <r>
    <s v="P219"/>
    <x v="0"/>
    <d v="2025-01-28T00:00:00"/>
    <x v="0"/>
    <s v="Check out our latest reel on twitter!"/>
    <n v="1188"/>
    <n v="470"/>
    <n v="174"/>
    <n v="7128"/>
    <n v="6145"/>
    <n v="270"/>
    <x v="2"/>
    <s v="DailyWellness"/>
  </r>
  <r>
    <s v="P220"/>
    <x v="2"/>
    <d v="2024-06-02T00:00:00"/>
    <x v="2"/>
    <s v="Check out our latest story on instagram!"/>
    <n v="84"/>
    <n v="897"/>
    <n v="85"/>
    <n v="588"/>
    <n v="8"/>
    <n v="12"/>
    <x v="4"/>
    <m/>
  </r>
  <r>
    <s v="P221"/>
    <x v="3"/>
    <d v="2025-03-23T00:00:00"/>
    <x v="5"/>
    <s v="Check out our latest video on facebook!"/>
    <n v="4453"/>
    <n v="111"/>
    <n v="420"/>
    <n v="31171"/>
    <n v="30565"/>
    <n v="23"/>
    <x v="2"/>
    <m/>
  </r>
  <r>
    <s v="P222"/>
    <x v="3"/>
    <d v="2024-10-08T00:00:00"/>
    <x v="0"/>
    <s v="Check out our latest reel on facebook!"/>
    <n v="1814"/>
    <n v="653"/>
    <n v="363"/>
    <n v="25396"/>
    <n v="25286"/>
    <n v="39"/>
    <x v="0"/>
    <s v="SummerSplash"/>
  </r>
  <r>
    <s v="P222"/>
    <x v="3"/>
    <d v="2024-10-08T00:00:00"/>
    <x v="0"/>
    <s v="Check out our latest reel on facebook!"/>
    <n v="1814"/>
    <n v="653"/>
    <n v="363"/>
    <n v="25396"/>
    <n v="25286"/>
    <n v="39"/>
    <x v="5"/>
    <s v="SummerSplash"/>
  </r>
  <r>
    <s v="P223"/>
    <x v="0"/>
    <d v="2024-11-12T00:00:00"/>
    <x v="4"/>
    <s v="Check out our latest image on twitter!"/>
    <n v="3338"/>
    <n v="277"/>
    <n v="118"/>
    <n v="60084"/>
    <n v="59842"/>
    <n v="252"/>
    <x v="2"/>
    <m/>
  </r>
  <r>
    <s v="P224"/>
    <x v="3"/>
    <d v="2025-05-13T00:00:00"/>
    <x v="4"/>
    <s v="Check out our latest image on facebook!"/>
    <n v="602"/>
    <n v="594"/>
    <n v="156"/>
    <n v="4214"/>
    <n v="3363"/>
    <n v="164"/>
    <x v="2"/>
    <s v="NewYearRefresh"/>
  </r>
  <r>
    <s v="P225"/>
    <x v="0"/>
    <d v="2024-06-20T00:00:00"/>
    <x v="3"/>
    <s v="Check out our latest carousel on twitter!"/>
    <n v="4672"/>
    <n v="325"/>
    <n v="32"/>
    <n v="88768"/>
    <n v="87833"/>
    <n v="118"/>
    <x v="4"/>
    <m/>
  </r>
  <r>
    <s v="P226"/>
    <x v="2"/>
    <d v="2024-08-07T00:00:00"/>
    <x v="3"/>
    <s v="Check out our latest carousel on instagram!"/>
    <n v="1741"/>
    <n v="164"/>
    <n v="318"/>
    <n v="8705"/>
    <n v="8272"/>
    <n v="121"/>
    <x v="2"/>
    <m/>
  </r>
  <r>
    <s v="P227"/>
    <x v="2"/>
    <d v="2024-06-12T00:00:00"/>
    <x v="1"/>
    <s v="Check out our latest text on instagram!"/>
    <n v="246"/>
    <n v="149"/>
    <n v="130"/>
    <n v="4674"/>
    <n v="4390"/>
    <n v="217"/>
    <x v="0"/>
    <s v="NewYearRefresh"/>
  </r>
  <r>
    <s v="P228"/>
    <x v="2"/>
    <d v="2024-07-01T00:00:00"/>
    <x v="2"/>
    <s v="Check out our latest story on instagram!"/>
    <n v="4808"/>
    <n v="772"/>
    <n v="320"/>
    <n v="72120"/>
    <n v="71696"/>
    <n v="195"/>
    <x v="4"/>
    <s v="SummerSplash"/>
  </r>
  <r>
    <s v="P229"/>
    <x v="2"/>
    <d v="2024-07-03T00:00:00"/>
    <x v="3"/>
    <s v="Check out our latest carousel on instagram!"/>
    <n v="4799"/>
    <n v="694"/>
    <n v="289"/>
    <n v="43191"/>
    <n v="42228"/>
    <n v="118"/>
    <x v="2"/>
    <m/>
  </r>
  <r>
    <s v="P230"/>
    <x v="3"/>
    <d v="2024-07-15T00:00:00"/>
    <x v="0"/>
    <s v="Check out our latest reel on facebook!"/>
    <n v="3663"/>
    <n v="17"/>
    <n v="295"/>
    <n v="51282"/>
    <n v="50567"/>
    <n v="84"/>
    <x v="4"/>
    <s v="NewYearRefresh"/>
  </r>
  <r>
    <s v="P231"/>
    <x v="2"/>
    <d v="2025-05-01T00:00:00"/>
    <x v="1"/>
    <s v="Check out our latest text on instagram!"/>
    <n v="1430"/>
    <n v="376"/>
    <n v="33"/>
    <n v="21450"/>
    <n v="20509"/>
    <n v="251"/>
    <x v="0"/>
    <s v="SummerSplash"/>
  </r>
  <r>
    <s v="P232"/>
    <x v="0"/>
    <d v="2025-04-29T00:00:00"/>
    <x v="2"/>
    <s v="Check out our latest story on twitter!"/>
    <n v="249"/>
    <n v="592"/>
    <n v="230"/>
    <n v="1494"/>
    <n v="1044"/>
    <n v="201"/>
    <x v="4"/>
    <s v="DailyWellness"/>
  </r>
  <r>
    <s v="P233"/>
    <x v="3"/>
    <d v="2025-03-08T00:00:00"/>
    <x v="4"/>
    <s v="Check out our latest image on facebook!"/>
    <n v="2382"/>
    <n v="265"/>
    <n v="134"/>
    <n v="38112"/>
    <n v="37437"/>
    <n v="249"/>
    <x v="0"/>
    <s v="DailyWellness"/>
  </r>
  <r>
    <s v="P234"/>
    <x v="3"/>
    <d v="2024-06-01T00:00:00"/>
    <x v="1"/>
    <s v="Check out our latest text on facebook!"/>
    <n v="1272"/>
    <n v="465"/>
    <n v="99"/>
    <n v="24168"/>
    <n v="23719"/>
    <n v="42"/>
    <x v="2"/>
    <m/>
  </r>
  <r>
    <s v="P235"/>
    <x v="3"/>
    <d v="2024-12-22T00:00:00"/>
    <x v="4"/>
    <s v="Check out our latest image on facebook!"/>
    <n v="3196"/>
    <n v="941"/>
    <n v="376"/>
    <n v="35156"/>
    <n v="34444"/>
    <n v="241"/>
    <x v="2"/>
    <s v="NewYearRefresh"/>
  </r>
  <r>
    <s v="P236"/>
    <x v="3"/>
    <d v="2024-08-19T00:00:00"/>
    <x v="1"/>
    <s v="Check out our latest text on facebook!"/>
    <n v="1257"/>
    <n v="19"/>
    <n v="351"/>
    <n v="12570"/>
    <n v="11660"/>
    <n v="194"/>
    <x v="0"/>
    <s v="FestiveRadiance"/>
  </r>
  <r>
    <s v="P236"/>
    <x v="3"/>
    <d v="2024-08-19T00:00:00"/>
    <x v="1"/>
    <s v="Check out our latest text on facebook!"/>
    <n v="1257"/>
    <n v="19"/>
    <n v="351"/>
    <n v="12570"/>
    <n v="11660"/>
    <n v="194"/>
    <x v="1"/>
    <s v="FestiveRadiance"/>
  </r>
  <r>
    <s v="P236"/>
    <x v="3"/>
    <d v="2024-08-19T00:00:00"/>
    <x v="1"/>
    <s v="Check out our latest text on facebook!"/>
    <n v="1257"/>
    <n v="19"/>
    <n v="351"/>
    <n v="12570"/>
    <n v="11660"/>
    <n v="194"/>
    <x v="4"/>
    <s v="FestiveRadiance"/>
  </r>
  <r>
    <s v="P237"/>
    <x v="2"/>
    <d v="2024-10-22T00:00:00"/>
    <x v="2"/>
    <s v="Check out our latest story on instagram!"/>
    <n v="3770"/>
    <n v="917"/>
    <n v="129"/>
    <n v="71630"/>
    <n v="71322"/>
    <n v="76"/>
    <x v="0"/>
    <s v="SummerSplash"/>
  </r>
  <r>
    <s v="P238"/>
    <x v="0"/>
    <d v="2024-07-16T00:00:00"/>
    <x v="1"/>
    <s v="Check out our latest text on twitter!"/>
    <n v="4725"/>
    <n v="400"/>
    <n v="362"/>
    <n v="75600"/>
    <n v="74927"/>
    <n v="43"/>
    <x v="0"/>
    <s v="DailyWellness"/>
  </r>
  <r>
    <s v="P239"/>
    <x v="1"/>
    <d v="2025-02-24T00:00:00"/>
    <x v="1"/>
    <s v="Check out our latest text on youtube!"/>
    <n v="4188"/>
    <n v="942"/>
    <n v="118"/>
    <n v="20940"/>
    <n v="20471"/>
    <n v="102"/>
    <x v="0"/>
    <m/>
  </r>
  <r>
    <s v="P240"/>
    <x v="0"/>
    <d v="2024-08-26T00:00:00"/>
    <x v="3"/>
    <s v="Check out our latest carousel on twitter!"/>
    <n v="929"/>
    <n v="192"/>
    <n v="322"/>
    <n v="16722"/>
    <n v="15996"/>
    <n v="145"/>
    <x v="4"/>
    <s v="NewYearRefresh"/>
  </r>
  <r>
    <s v="P240"/>
    <x v="0"/>
    <d v="2024-08-26T00:00:00"/>
    <x v="3"/>
    <s v="Check out our latest carousel on twitter!"/>
    <n v="929"/>
    <n v="192"/>
    <n v="322"/>
    <n v="16722"/>
    <n v="15996"/>
    <n v="145"/>
    <x v="2"/>
    <s v="NewYearRefresh"/>
  </r>
  <r>
    <s v="P240"/>
    <x v="0"/>
    <d v="2024-08-26T00:00:00"/>
    <x v="3"/>
    <s v="Check out our latest carousel on twitter!"/>
    <n v="929"/>
    <n v="192"/>
    <n v="322"/>
    <n v="16722"/>
    <n v="15996"/>
    <n v="145"/>
    <x v="1"/>
    <s v="NewYearRefresh"/>
  </r>
  <r>
    <s v="P241"/>
    <x v="3"/>
    <d v="2025-01-18T00:00:00"/>
    <x v="2"/>
    <s v="Check out our latest story on facebook!"/>
    <n v="4321"/>
    <n v="874"/>
    <n v="172"/>
    <n v="30247"/>
    <n v="29254"/>
    <n v="122"/>
    <x v="2"/>
    <s v="DailyWellness"/>
  </r>
  <r>
    <s v="P242"/>
    <x v="3"/>
    <d v="2024-07-07T00:00:00"/>
    <x v="0"/>
    <s v="Check out our latest reel on facebook!"/>
    <n v="4767"/>
    <n v="190"/>
    <n v="340"/>
    <n v="28602"/>
    <n v="28044"/>
    <n v="210"/>
    <x v="4"/>
    <s v="NewYearRefresh"/>
  </r>
  <r>
    <s v="P243"/>
    <x v="0"/>
    <d v="2025-03-06T00:00:00"/>
    <x v="4"/>
    <s v="Check out our latest image on twitter!"/>
    <n v="3592"/>
    <n v="911"/>
    <n v="375"/>
    <n v="50288"/>
    <n v="49490"/>
    <n v="32"/>
    <x v="0"/>
    <s v="DailyWellness"/>
  </r>
  <r>
    <s v="P244"/>
    <x v="1"/>
    <d v="2024-10-25T00:00:00"/>
    <x v="5"/>
    <s v="Check out our latest video on youtube!"/>
    <n v="4661"/>
    <n v="935"/>
    <n v="433"/>
    <n v="23305"/>
    <n v="22583"/>
    <n v="63"/>
    <x v="0"/>
    <s v="NewYearRefresh"/>
  </r>
  <r>
    <s v="P245"/>
    <x v="3"/>
    <d v="2025-01-12T00:00:00"/>
    <x v="0"/>
    <s v="Check out our latest reel on facebook!"/>
    <n v="4134"/>
    <n v="824"/>
    <n v="99"/>
    <n v="41340"/>
    <n v="41050"/>
    <n v="177"/>
    <x v="4"/>
    <s v="SummerSplash"/>
  </r>
  <r>
    <s v="P246"/>
    <x v="3"/>
    <d v="2024-10-11T00:00:00"/>
    <x v="4"/>
    <s v="Check out our latest image on facebook!"/>
    <n v="400"/>
    <n v="680"/>
    <n v="434"/>
    <n v="6400"/>
    <n v="5472"/>
    <n v="160"/>
    <x v="0"/>
    <s v="FestiveRadiance"/>
  </r>
  <r>
    <s v="P247"/>
    <x v="3"/>
    <d v="2024-08-27T00:00:00"/>
    <x v="0"/>
    <s v="Check out our latest reel on facebook!"/>
    <n v="3960"/>
    <n v="266"/>
    <n v="8"/>
    <n v="35640"/>
    <n v="34850"/>
    <n v="208"/>
    <x v="0"/>
    <m/>
  </r>
  <r>
    <s v="P247"/>
    <x v="3"/>
    <d v="2024-08-27T00:00:00"/>
    <x v="0"/>
    <s v="Check out our latest reel on facebook!"/>
    <n v="3960"/>
    <n v="266"/>
    <n v="8"/>
    <n v="35640"/>
    <n v="34850"/>
    <n v="208"/>
    <x v="4"/>
    <m/>
  </r>
  <r>
    <s v="P247"/>
    <x v="3"/>
    <d v="2024-08-27T00:00:00"/>
    <x v="0"/>
    <s v="Check out our latest reel on facebook!"/>
    <n v="3960"/>
    <n v="266"/>
    <n v="8"/>
    <n v="35640"/>
    <n v="34850"/>
    <n v="208"/>
    <x v="3"/>
    <m/>
  </r>
  <r>
    <s v="P248"/>
    <x v="3"/>
    <d v="2025-02-02T00:00:00"/>
    <x v="2"/>
    <s v="Check out our latest story on facebook!"/>
    <n v="886"/>
    <n v="126"/>
    <n v="153"/>
    <n v="4430"/>
    <n v="4037"/>
    <n v="212"/>
    <x v="4"/>
    <m/>
  </r>
  <r>
    <s v="P249"/>
    <x v="0"/>
    <d v="2024-07-18T00:00:00"/>
    <x v="4"/>
    <s v="Check out our latest image on twitter!"/>
    <n v="827"/>
    <n v="77"/>
    <n v="402"/>
    <n v="14886"/>
    <n v="14129"/>
    <n v="254"/>
    <x v="4"/>
    <s v="FestiveRadiance"/>
  </r>
  <r>
    <s v="P250"/>
    <x v="3"/>
    <d v="2024-06-22T00:00:00"/>
    <x v="0"/>
    <s v="Check out our latest reel on facebook!"/>
    <n v="3813"/>
    <n v="935"/>
    <n v="274"/>
    <n v="68634"/>
    <n v="68488"/>
    <n v="251"/>
    <x v="0"/>
    <m/>
  </r>
  <r>
    <s v="P251"/>
    <x v="2"/>
    <d v="2025-03-27T00:00:00"/>
    <x v="3"/>
    <s v="Check out our latest carousel on instagram!"/>
    <n v="1377"/>
    <n v="796"/>
    <n v="387"/>
    <n v="22032"/>
    <n v="21869"/>
    <n v="189"/>
    <x v="0"/>
    <m/>
  </r>
  <r>
    <s v="P252"/>
    <x v="3"/>
    <d v="2025-04-28T00:00:00"/>
    <x v="3"/>
    <s v="Check out our latest carousel on facebook!"/>
    <n v="2089"/>
    <n v="476"/>
    <n v="69"/>
    <n v="16712"/>
    <n v="16309"/>
    <n v="64"/>
    <x v="0"/>
    <s v="NewYearRefresh"/>
  </r>
  <r>
    <s v="P253"/>
    <x v="0"/>
    <d v="2024-08-03T00:00:00"/>
    <x v="0"/>
    <s v="Check out our latest reel on twitter!"/>
    <n v="3791"/>
    <n v="593"/>
    <n v="228"/>
    <n v="53074"/>
    <n v="52613"/>
    <n v="205"/>
    <x v="4"/>
    <m/>
  </r>
  <r>
    <s v="P254"/>
    <x v="0"/>
    <d v="2025-01-14T00:00:00"/>
    <x v="4"/>
    <s v="Check out our latest image on twitter!"/>
    <n v="2692"/>
    <n v="115"/>
    <n v="64"/>
    <n v="21536"/>
    <n v="21120"/>
    <n v="224"/>
    <x v="0"/>
    <s v="FestiveRadiance"/>
  </r>
  <r>
    <s v="P255"/>
    <x v="3"/>
    <d v="2025-04-03T00:00:00"/>
    <x v="2"/>
    <s v="Check out our latest story on facebook!"/>
    <n v="3767"/>
    <n v="514"/>
    <n v="238"/>
    <n v="37670"/>
    <n v="36807"/>
    <n v="226"/>
    <x v="0"/>
    <s v="DailyWellness"/>
  </r>
  <r>
    <s v="P256"/>
    <x v="1"/>
    <d v="2024-09-18T00:00:00"/>
    <x v="3"/>
    <s v="Check out our latest carousel on youtube!"/>
    <n v="2143"/>
    <n v="12"/>
    <n v="204"/>
    <n v="40717"/>
    <n v="40125"/>
    <n v="248"/>
    <x v="4"/>
    <s v="FestiveRadiance"/>
  </r>
  <r>
    <s v="P257"/>
    <x v="3"/>
    <d v="2025-04-06T00:00:00"/>
    <x v="4"/>
    <s v="Check out our latest image on facebook!"/>
    <n v="3090"/>
    <n v="697"/>
    <n v="164"/>
    <n v="49440"/>
    <n v="48524"/>
    <n v="25"/>
    <x v="4"/>
    <s v="FestiveRadiance"/>
  </r>
  <r>
    <s v="P257"/>
    <x v="3"/>
    <d v="2025-04-06T00:00:00"/>
    <x v="4"/>
    <s v="Check out our latest image on facebook!"/>
    <n v="3090"/>
    <n v="697"/>
    <n v="164"/>
    <n v="49440"/>
    <n v="48524"/>
    <n v="25"/>
    <x v="4"/>
    <s v="FestiveRadiance"/>
  </r>
  <r>
    <s v="P257"/>
    <x v="3"/>
    <d v="2025-04-06T00:00:00"/>
    <x v="4"/>
    <s v="Check out our latest image on facebook!"/>
    <n v="3090"/>
    <n v="697"/>
    <n v="164"/>
    <n v="49440"/>
    <n v="48524"/>
    <n v="25"/>
    <x v="3"/>
    <s v="FestiveRadiance"/>
  </r>
  <r>
    <s v="P258"/>
    <x v="2"/>
    <d v="2024-08-05T00:00:00"/>
    <x v="2"/>
    <s v="Check out our latest story on instagram!"/>
    <n v="3601"/>
    <n v="695"/>
    <n v="75"/>
    <n v="21606"/>
    <n v="21454"/>
    <n v="172"/>
    <x v="4"/>
    <s v="FestiveRadiance"/>
  </r>
  <r>
    <s v="P259"/>
    <x v="3"/>
    <d v="2025-02-10T00:00:00"/>
    <x v="1"/>
    <s v="Check out our latest text on facebook!"/>
    <n v="562"/>
    <n v="158"/>
    <n v="149"/>
    <n v="3372"/>
    <n v="2940"/>
    <n v="93"/>
    <x v="2"/>
    <s v="SummerSplash"/>
  </r>
  <r>
    <s v="P260"/>
    <x v="2"/>
    <d v="2025-02-12T00:00:00"/>
    <x v="2"/>
    <s v="Check out our latest story on instagram!"/>
    <n v="4332"/>
    <n v="771"/>
    <n v="219"/>
    <n v="60648"/>
    <n v="60397"/>
    <n v="10"/>
    <x v="2"/>
    <s v="NewYearRefresh"/>
  </r>
  <r>
    <s v="P260"/>
    <x v="2"/>
    <d v="2025-02-12T00:00:00"/>
    <x v="2"/>
    <s v="Check out our latest story on instagram!"/>
    <n v="4332"/>
    <n v="771"/>
    <n v="219"/>
    <n v="60648"/>
    <n v="60397"/>
    <n v="10"/>
    <x v="4"/>
    <s v="NewYearRefresh"/>
  </r>
  <r>
    <s v="P260"/>
    <x v="2"/>
    <d v="2025-02-12T00:00:00"/>
    <x v="2"/>
    <s v="Check out our latest story on instagram!"/>
    <n v="4332"/>
    <n v="771"/>
    <n v="219"/>
    <n v="60648"/>
    <n v="60397"/>
    <n v="10"/>
    <x v="3"/>
    <s v="NewYearRefresh"/>
  </r>
  <r>
    <s v="P261"/>
    <x v="2"/>
    <d v="2024-10-27T00:00:00"/>
    <x v="4"/>
    <s v="Check out our latest image on instagram!"/>
    <n v="4853"/>
    <n v="837"/>
    <n v="340"/>
    <n v="72795"/>
    <n v="72237"/>
    <n v="170"/>
    <x v="4"/>
    <s v="SummerSplash"/>
  </r>
  <r>
    <s v="P262"/>
    <x v="1"/>
    <d v="2025-01-18T00:00:00"/>
    <x v="4"/>
    <s v="Check out our latest image on youtube!"/>
    <n v="1206"/>
    <n v="238"/>
    <n v="36"/>
    <n v="9648"/>
    <n v="9417"/>
    <n v="237"/>
    <x v="2"/>
    <m/>
  </r>
  <r>
    <s v="P263"/>
    <x v="2"/>
    <d v="2024-08-20T00:00:00"/>
    <x v="0"/>
    <s v="Check out our latest reel on instagram!"/>
    <n v="2603"/>
    <n v="690"/>
    <n v="205"/>
    <n v="13015"/>
    <n v="12130"/>
    <n v="20"/>
    <x v="0"/>
    <s v="FestiveRadiance"/>
  </r>
  <r>
    <s v="P264"/>
    <x v="0"/>
    <d v="2025-01-30T00:00:00"/>
    <x v="4"/>
    <s v="Check out our latest image on twitter!"/>
    <n v="59"/>
    <n v="163"/>
    <n v="93"/>
    <n v="590"/>
    <n v="475"/>
    <n v="293"/>
    <x v="2"/>
    <s v="FestiveRadiance"/>
  </r>
  <r>
    <s v="P265"/>
    <x v="0"/>
    <d v="2025-02-20T00:00:00"/>
    <x v="3"/>
    <s v="Check out our latest carousel on twitter!"/>
    <n v="1877"/>
    <n v="745"/>
    <n v="225"/>
    <n v="11262"/>
    <n v="10967"/>
    <n v="41"/>
    <x v="4"/>
    <s v="DailyWellness"/>
  </r>
  <r>
    <s v="P266"/>
    <x v="3"/>
    <d v="2024-11-25T00:00:00"/>
    <x v="2"/>
    <s v="Check out our latest story on facebook!"/>
    <n v="4182"/>
    <n v="640"/>
    <n v="240"/>
    <n v="50184"/>
    <n v="49351"/>
    <n v="10"/>
    <x v="2"/>
    <s v="NewYearRefresh"/>
  </r>
  <r>
    <s v="P267"/>
    <x v="0"/>
    <d v="2024-10-04T00:00:00"/>
    <x v="0"/>
    <s v="Check out our latest reel on twitter!"/>
    <n v="4187"/>
    <n v="66"/>
    <n v="31"/>
    <n v="66992"/>
    <n v="66614"/>
    <n v="62"/>
    <x v="0"/>
    <m/>
  </r>
  <r>
    <s v="P268"/>
    <x v="2"/>
    <d v="2025-04-13T00:00:00"/>
    <x v="0"/>
    <s v="Check out our latest reel on instagram!"/>
    <n v="4579"/>
    <n v="125"/>
    <n v="300"/>
    <n v="59527"/>
    <n v="59400"/>
    <n v="269"/>
    <x v="4"/>
    <s v="SummerSplash"/>
  </r>
  <r>
    <s v="P269"/>
    <x v="2"/>
    <d v="2024-11-05T00:00:00"/>
    <x v="5"/>
    <s v="Check out our latest video on instagram!"/>
    <n v="4561"/>
    <n v="51"/>
    <n v="441"/>
    <n v="22805"/>
    <n v="21890"/>
    <n v="45"/>
    <x v="2"/>
    <s v="FestiveRadiance"/>
  </r>
  <r>
    <s v="P270"/>
    <x v="1"/>
    <d v="2025-01-15T00:00:00"/>
    <x v="0"/>
    <s v="Check out our latest reel on youtube!"/>
    <n v="3774"/>
    <n v="239"/>
    <n v="39"/>
    <n v="60384"/>
    <n v="59490"/>
    <n v="241"/>
    <x v="2"/>
    <s v="NewYearRefresh"/>
  </r>
  <r>
    <s v="P271"/>
    <x v="2"/>
    <d v="2024-10-17T00:00:00"/>
    <x v="5"/>
    <s v="Check out our latest video on instagram!"/>
    <n v="3575"/>
    <n v="749"/>
    <n v="111"/>
    <n v="21450"/>
    <n v="20785"/>
    <n v="195"/>
    <x v="4"/>
    <s v="FestiveRadiance"/>
  </r>
  <r>
    <s v="P272"/>
    <x v="2"/>
    <d v="2025-03-27T00:00:00"/>
    <x v="1"/>
    <s v="Check out our latest text on instagram!"/>
    <n v="4941"/>
    <n v="414"/>
    <n v="266"/>
    <n v="39528"/>
    <n v="39154"/>
    <n v="217"/>
    <x v="2"/>
    <s v="NewYearRefresh"/>
  </r>
  <r>
    <s v="P273"/>
    <x v="1"/>
    <d v="2024-10-12T00:00:00"/>
    <x v="2"/>
    <s v="Check out our latest story on youtube!"/>
    <n v="3641"/>
    <n v="226"/>
    <n v="46"/>
    <n v="40051"/>
    <n v="39319"/>
    <n v="296"/>
    <x v="4"/>
    <s v="DailyWellness"/>
  </r>
  <r>
    <s v="P274"/>
    <x v="0"/>
    <d v="2025-01-01T00:00:00"/>
    <x v="3"/>
    <s v="Check out our latest carousel on twitter!"/>
    <n v="3535"/>
    <n v="494"/>
    <n v="152"/>
    <n v="53025"/>
    <n v="52791"/>
    <n v="44"/>
    <x v="2"/>
    <s v="DailyWellness"/>
  </r>
  <r>
    <s v="P275"/>
    <x v="3"/>
    <d v="2024-08-05T00:00:00"/>
    <x v="0"/>
    <s v="Check out our latest reel on facebook!"/>
    <n v="1741"/>
    <n v="831"/>
    <n v="345"/>
    <n v="17410"/>
    <n v="16844"/>
    <n v="58"/>
    <x v="4"/>
    <s v="NewYearRefresh"/>
  </r>
  <r>
    <s v="P276"/>
    <x v="0"/>
    <d v="2024-06-07T00:00:00"/>
    <x v="3"/>
    <s v="Check out our latest carousel on twitter!"/>
    <n v="1556"/>
    <n v="195"/>
    <n v="131"/>
    <n v="9336"/>
    <n v="8875"/>
    <n v="137"/>
    <x v="2"/>
    <s v="FestiveRadiance"/>
  </r>
  <r>
    <s v="P277"/>
    <x v="3"/>
    <d v="2025-04-06T00:00:00"/>
    <x v="4"/>
    <s v="Check out our latest image on facebook!"/>
    <n v="4236"/>
    <n v="711"/>
    <n v="298"/>
    <n v="21180"/>
    <n v="20516"/>
    <n v="238"/>
    <x v="0"/>
    <s v="SummerSplash"/>
  </r>
  <r>
    <s v="P278"/>
    <x v="0"/>
    <d v="2024-11-26T00:00:00"/>
    <x v="1"/>
    <s v="Check out our latest text on twitter!"/>
    <n v="4516"/>
    <n v="836"/>
    <n v="169"/>
    <n v="49676"/>
    <n v="49257"/>
    <n v="282"/>
    <x v="4"/>
    <s v="DailyWellness"/>
  </r>
  <r>
    <s v="P279"/>
    <x v="1"/>
    <d v="2024-09-02T00:00:00"/>
    <x v="4"/>
    <s v="Check out our latest image on youtube!"/>
    <n v="4905"/>
    <n v="845"/>
    <n v="129"/>
    <n v="98100"/>
    <n v="97772"/>
    <n v="279"/>
    <x v="2"/>
    <s v="FestiveRadiance"/>
  </r>
  <r>
    <s v="P280"/>
    <x v="1"/>
    <d v="2024-10-21T00:00:00"/>
    <x v="5"/>
    <s v="Check out our latest video on youtube!"/>
    <n v="4275"/>
    <n v="680"/>
    <n v="385"/>
    <n v="64125"/>
    <n v="63650"/>
    <n v="104"/>
    <x v="4"/>
    <s v="DailyWellness"/>
  </r>
  <r>
    <s v="P280"/>
    <x v="1"/>
    <d v="2024-10-21T00:00:00"/>
    <x v="5"/>
    <s v="Check out our latest video on youtube!"/>
    <n v="4275"/>
    <n v="680"/>
    <n v="385"/>
    <n v="64125"/>
    <n v="63650"/>
    <n v="104"/>
    <x v="2"/>
    <s v="DailyWellness"/>
  </r>
  <r>
    <s v="P280"/>
    <x v="1"/>
    <d v="2024-10-21T00:00:00"/>
    <x v="5"/>
    <s v="Check out our latest video on youtube!"/>
    <n v="4275"/>
    <n v="680"/>
    <n v="385"/>
    <n v="64125"/>
    <n v="63650"/>
    <n v="104"/>
    <x v="1"/>
    <s v="DailyWellness"/>
  </r>
  <r>
    <s v="P281"/>
    <x v="1"/>
    <d v="2025-03-22T00:00:00"/>
    <x v="4"/>
    <s v="Check out our latest image on youtube!"/>
    <n v="3166"/>
    <n v="90"/>
    <n v="341"/>
    <n v="56988"/>
    <n v="56125"/>
    <n v="135"/>
    <x v="4"/>
    <s v="FestiveRadiance"/>
  </r>
  <r>
    <s v="P282"/>
    <x v="2"/>
    <d v="2024-10-03T00:00:00"/>
    <x v="5"/>
    <s v="Check out our latest video on instagram!"/>
    <n v="1488"/>
    <n v="417"/>
    <n v="168"/>
    <n v="19344"/>
    <n v="18395"/>
    <n v="30"/>
    <x v="0"/>
    <s v="NewYearRefresh"/>
  </r>
  <r>
    <s v="P283"/>
    <x v="0"/>
    <d v="2025-05-09T00:00:00"/>
    <x v="0"/>
    <s v="Check out our latest reel on twitter!"/>
    <n v="3367"/>
    <n v="302"/>
    <n v="57"/>
    <n v="63973"/>
    <n v="63789"/>
    <n v="157"/>
    <x v="0"/>
    <s v="FestiveRadiance"/>
  </r>
  <r>
    <s v="P284"/>
    <x v="0"/>
    <d v="2024-09-17T00:00:00"/>
    <x v="1"/>
    <s v="Check out our latest text on twitter!"/>
    <n v="571"/>
    <n v="190"/>
    <n v="352"/>
    <n v="9707"/>
    <n v="9418"/>
    <n v="231"/>
    <x v="2"/>
    <s v="DailyWellness"/>
  </r>
  <r>
    <s v="P285"/>
    <x v="1"/>
    <d v="2024-07-18T00:00:00"/>
    <x v="1"/>
    <s v="Check out our latest text on youtube!"/>
    <n v="4021"/>
    <n v="794"/>
    <n v="77"/>
    <n v="36189"/>
    <n v="35505"/>
    <n v="174"/>
    <x v="4"/>
    <m/>
  </r>
  <r>
    <s v="P286"/>
    <x v="1"/>
    <d v="2024-09-25T00:00:00"/>
    <x v="5"/>
    <s v="Check out our latest video on youtube!"/>
    <n v="3389"/>
    <n v="344"/>
    <n v="229"/>
    <n v="20334"/>
    <n v="19443"/>
    <n v="228"/>
    <x v="0"/>
    <s v="NewYearRefresh"/>
  </r>
  <r>
    <s v="P287"/>
    <x v="2"/>
    <d v="2024-08-15T00:00:00"/>
    <x v="0"/>
    <s v="Check out our latest reel on instagram!"/>
    <n v="1164"/>
    <n v="616"/>
    <n v="324"/>
    <n v="6984"/>
    <n v="6636"/>
    <n v="82"/>
    <x v="4"/>
    <s v="SummerSplash"/>
  </r>
  <r>
    <s v="P288"/>
    <x v="1"/>
    <d v="2025-04-17T00:00:00"/>
    <x v="3"/>
    <s v="Check out our latest carousel on youtube!"/>
    <n v="4780"/>
    <n v="691"/>
    <n v="380"/>
    <n v="86040"/>
    <n v="85743"/>
    <n v="262"/>
    <x v="0"/>
    <s v="NewYearRefresh"/>
  </r>
  <r>
    <s v="P289"/>
    <x v="3"/>
    <d v="2024-11-28T00:00:00"/>
    <x v="3"/>
    <s v="Check out our latest carousel on facebook!"/>
    <n v="2751"/>
    <n v="33"/>
    <n v="430"/>
    <n v="44016"/>
    <n v="43415"/>
    <n v="129"/>
    <x v="0"/>
    <m/>
  </r>
  <r>
    <s v="P290"/>
    <x v="2"/>
    <d v="2024-12-20T00:00:00"/>
    <x v="3"/>
    <s v="Check out our latest carousel on instagram!"/>
    <n v="2107"/>
    <n v="550"/>
    <n v="349"/>
    <n v="35819"/>
    <n v="35340"/>
    <n v="191"/>
    <x v="4"/>
    <s v="DailyWellness"/>
  </r>
  <r>
    <s v="P291"/>
    <x v="3"/>
    <d v="2024-11-06T00:00:00"/>
    <x v="5"/>
    <s v="Check out our latest video on facebook!"/>
    <n v="4663"/>
    <n v="145"/>
    <n v="225"/>
    <n v="69945"/>
    <n v="69596"/>
    <n v="35"/>
    <x v="4"/>
    <s v="DailyWellness"/>
  </r>
  <r>
    <s v="P292"/>
    <x v="3"/>
    <d v="2024-11-17T00:00:00"/>
    <x v="1"/>
    <s v="Check out our latest text on facebook!"/>
    <n v="880"/>
    <n v="297"/>
    <n v="345"/>
    <n v="12320"/>
    <n v="11978"/>
    <n v="238"/>
    <x v="2"/>
    <m/>
  </r>
  <r>
    <s v="P292"/>
    <x v="3"/>
    <d v="2024-11-17T00:00:00"/>
    <x v="1"/>
    <s v="Check out our latest text on facebook!"/>
    <n v="880"/>
    <n v="297"/>
    <n v="345"/>
    <n v="12320"/>
    <n v="11978"/>
    <n v="238"/>
    <x v="1"/>
    <m/>
  </r>
  <r>
    <s v="P293"/>
    <x v="3"/>
    <d v="2025-05-14T00:00:00"/>
    <x v="1"/>
    <s v="Check out our latest text on facebook!"/>
    <n v="2634"/>
    <n v="726"/>
    <n v="241"/>
    <n v="28974"/>
    <n v="28102"/>
    <n v="277"/>
    <x v="4"/>
    <s v="SummerSplash"/>
  </r>
  <r>
    <s v="P294"/>
    <x v="3"/>
    <d v="2024-06-19T00:00:00"/>
    <x v="3"/>
    <s v="Check out our latest carousel on facebook!"/>
    <n v="4731"/>
    <n v="173"/>
    <n v="276"/>
    <n v="28386"/>
    <n v="28185"/>
    <n v="89"/>
    <x v="4"/>
    <s v="NewYearRefresh"/>
  </r>
  <r>
    <s v="P295"/>
    <x v="0"/>
    <d v="2025-05-06T00:00:00"/>
    <x v="4"/>
    <s v="Check out our latest image on twitter!"/>
    <n v="1952"/>
    <n v="344"/>
    <n v="287"/>
    <n v="15616"/>
    <n v="15403"/>
    <n v="235"/>
    <x v="0"/>
    <s v="FestiveRadiance"/>
  </r>
  <r>
    <s v="P295"/>
    <x v="0"/>
    <d v="2025-05-06T00:00:00"/>
    <x v="4"/>
    <s v="Check out our latest image on twitter!"/>
    <n v="1952"/>
    <n v="344"/>
    <n v="287"/>
    <n v="15616"/>
    <n v="15403"/>
    <n v="235"/>
    <x v="2"/>
    <s v="FestiveRadiance"/>
  </r>
  <r>
    <s v="P295"/>
    <x v="0"/>
    <d v="2025-05-06T00:00:00"/>
    <x v="4"/>
    <s v="Check out our latest image on twitter!"/>
    <n v="1952"/>
    <n v="344"/>
    <n v="287"/>
    <n v="15616"/>
    <n v="15403"/>
    <n v="235"/>
    <x v="1"/>
    <s v="FestiveRadiance"/>
  </r>
  <r>
    <s v="P296"/>
    <x v="0"/>
    <d v="2025-02-11T00:00:00"/>
    <x v="5"/>
    <s v="Check out our latest video on twitter!"/>
    <n v="3440"/>
    <n v="13"/>
    <n v="20"/>
    <n v="58480"/>
    <n v="58146"/>
    <n v="210"/>
    <x v="2"/>
    <s v="DailyWellness"/>
  </r>
  <r>
    <s v="P296"/>
    <x v="0"/>
    <d v="2025-02-11T00:00:00"/>
    <x v="5"/>
    <s v="Check out our latest video on twitter!"/>
    <n v="3440"/>
    <n v="13"/>
    <n v="20"/>
    <n v="58480"/>
    <n v="58146"/>
    <n v="210"/>
    <x v="5"/>
    <s v="DailyWellness"/>
  </r>
  <r>
    <s v="P297"/>
    <x v="0"/>
    <d v="2024-12-24T00:00:00"/>
    <x v="1"/>
    <s v="Check out our latest text on twitter!"/>
    <n v="2166"/>
    <n v="354"/>
    <n v="117"/>
    <n v="10830"/>
    <n v="10245"/>
    <n v="24"/>
    <x v="4"/>
    <s v="DailyWellness"/>
  </r>
  <r>
    <s v="P298"/>
    <x v="3"/>
    <d v="2024-10-24T00:00:00"/>
    <x v="4"/>
    <s v="Check out our latest image on facebook!"/>
    <n v="4303"/>
    <n v="451"/>
    <n v="286"/>
    <n v="86060"/>
    <n v="85823"/>
    <n v="14"/>
    <x v="2"/>
    <s v="NewYearRefresh"/>
  </r>
  <r>
    <s v="P299"/>
    <x v="3"/>
    <d v="2024-08-26T00:00:00"/>
    <x v="4"/>
    <s v="Check out our latest image on facebook!"/>
    <n v="2581"/>
    <n v="517"/>
    <n v="117"/>
    <n v="23229"/>
    <n v="22331"/>
    <n v="70"/>
    <x v="0"/>
    <s v="NewYearRefresh"/>
  </r>
  <r>
    <s v="P300"/>
    <x v="0"/>
    <d v="2024-08-31T00:00:00"/>
    <x v="3"/>
    <s v="Check out our latest carousel on twitter!"/>
    <n v="4494"/>
    <n v="717"/>
    <n v="45"/>
    <n v="62916"/>
    <n v="62688"/>
    <n v="191"/>
    <x v="2"/>
    <s v="SummerSplash"/>
  </r>
  <r>
    <s v="P300"/>
    <x v="0"/>
    <d v="2024-08-31T00:00:00"/>
    <x v="3"/>
    <s v="Check out our latest carousel on twitter!"/>
    <n v="4494"/>
    <n v="717"/>
    <n v="45"/>
    <n v="62916"/>
    <n v="62688"/>
    <n v="191"/>
    <x v="4"/>
    <s v="SummerSplash"/>
  </r>
  <r>
    <s v="P300"/>
    <x v="0"/>
    <d v="2024-08-31T00:00:00"/>
    <x v="3"/>
    <s v="Check out our latest carousel on twitter!"/>
    <n v="4494"/>
    <n v="717"/>
    <n v="45"/>
    <n v="62916"/>
    <n v="62688"/>
    <n v="191"/>
    <x v="3"/>
    <s v="SummerSplash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s v="P001"/>
    <x v="0"/>
    <d v="2024-12-23T00:00:00"/>
    <x v="0"/>
    <s v="Check out our latest reel on twitter!"/>
    <n v="1461"/>
    <n v="184"/>
    <n v="344"/>
    <n v="21915"/>
    <n v="21675"/>
    <n v="15"/>
    <x v="0"/>
    <s v="SummerSplash"/>
  </r>
  <r>
    <s v="P001"/>
    <x v="0"/>
    <d v="2024-12-23T00:00:00"/>
    <x v="0"/>
    <s v="Check out our latest reel on twitter!"/>
    <n v="1461"/>
    <n v="184"/>
    <n v="344"/>
    <n v="21915"/>
    <n v="21675"/>
    <n v="15"/>
    <x v="1"/>
    <s v="SummerSplash"/>
  </r>
  <r>
    <s v="P002"/>
    <x v="0"/>
    <d v="2025-04-03T00:00:00"/>
    <x v="1"/>
    <s v="Check out our latest text on twitter!"/>
    <n v="4054"/>
    <n v="389"/>
    <n v="493"/>
    <n v="64864"/>
    <n v="64383"/>
    <n v="117"/>
    <x v="2"/>
    <s v="FestiveRadiance"/>
  </r>
  <r>
    <s v="P002"/>
    <x v="0"/>
    <d v="2025-04-03T00:00:00"/>
    <x v="1"/>
    <s v="Check out our latest text on twitter!"/>
    <n v="4054"/>
    <n v="389"/>
    <n v="493"/>
    <n v="64864"/>
    <n v="64383"/>
    <n v="117"/>
    <x v="3"/>
    <s v="FestiveRadiance"/>
  </r>
  <r>
    <s v="P003"/>
    <x v="1"/>
    <d v="2025-05-12T00:00:00"/>
    <x v="0"/>
    <s v="Check out our latest reel on youtube!"/>
    <n v="2795"/>
    <n v="105"/>
    <n v="49"/>
    <n v="53105"/>
    <n v="52307"/>
    <n v="204"/>
    <x v="2"/>
    <s v="NewYearRefresh"/>
  </r>
  <r>
    <s v="P004"/>
    <x v="2"/>
    <d v="2024-08-12T00:00:00"/>
    <x v="2"/>
    <s v="Check out our latest story on instagram!"/>
    <n v="2404"/>
    <n v="363"/>
    <n v="138"/>
    <n v="19232"/>
    <n v="18636"/>
    <n v="128"/>
    <x v="4"/>
    <s v="DailyWellness"/>
  </r>
  <r>
    <s v="P005"/>
    <x v="1"/>
    <d v="2024-06-26T00:00:00"/>
    <x v="0"/>
    <s v="Check out our latest reel on youtube!"/>
    <n v="3557"/>
    <n v="687"/>
    <n v="424"/>
    <n v="71140"/>
    <n v="70701"/>
    <n v="224"/>
    <x v="4"/>
    <s v="SummerSplash"/>
  </r>
  <r>
    <s v="P005"/>
    <x v="1"/>
    <d v="2024-06-26T00:00:00"/>
    <x v="0"/>
    <s v="Check out our latest reel on youtube!"/>
    <n v="3557"/>
    <n v="687"/>
    <n v="424"/>
    <n v="71140"/>
    <n v="70701"/>
    <n v="224"/>
    <x v="2"/>
    <s v="SummerSplash"/>
  </r>
  <r>
    <s v="P006"/>
    <x v="3"/>
    <d v="2024-10-31T00:00:00"/>
    <x v="3"/>
    <s v="Check out our latest carousel on facebook!"/>
    <n v="2945"/>
    <n v="930"/>
    <n v="355"/>
    <n v="23560"/>
    <n v="23275"/>
    <n v="256"/>
    <x v="2"/>
    <s v="FestiveRadiance"/>
  </r>
  <r>
    <s v="P007"/>
    <x v="0"/>
    <d v="2024-06-24T00:00:00"/>
    <x v="3"/>
    <s v="Check out our latest carousel on twitter!"/>
    <n v="3860"/>
    <n v="201"/>
    <n v="279"/>
    <n v="61760"/>
    <n v="61660"/>
    <n v="235"/>
    <x v="2"/>
    <s v="FestiveRadiance"/>
  </r>
  <r>
    <s v="P008"/>
    <x v="1"/>
    <d v="2024-07-13T00:00:00"/>
    <x v="4"/>
    <s v="Check out our latest image on youtube!"/>
    <n v="3929"/>
    <n v="262"/>
    <n v="278"/>
    <n v="43219"/>
    <n v="42841"/>
    <n v="39"/>
    <x v="4"/>
    <s v="DailyWellness"/>
  </r>
  <r>
    <s v="P009"/>
    <x v="3"/>
    <d v="2024-08-30T00:00:00"/>
    <x v="1"/>
    <s v="Check out our latest text on facebook!"/>
    <n v="3784"/>
    <n v="808"/>
    <n v="404"/>
    <n v="56760"/>
    <n v="56343"/>
    <n v="131"/>
    <x v="2"/>
    <s v="FestiveRadiance"/>
  </r>
  <r>
    <s v="P010"/>
    <x v="3"/>
    <d v="2025-03-11T00:00:00"/>
    <x v="4"/>
    <s v="Check out our latest image on facebook!"/>
    <n v="4241"/>
    <n v="902"/>
    <n v="47"/>
    <n v="72097"/>
    <n v="71598"/>
    <n v="167"/>
    <x v="2"/>
    <s v="FestiveRadiance"/>
  </r>
  <r>
    <s v="P011"/>
    <x v="2"/>
    <d v="2025-02-02T00:00:00"/>
    <x v="2"/>
    <s v="Check out our latest story on instagram!"/>
    <n v="1792"/>
    <n v="614"/>
    <n v="497"/>
    <n v="25088"/>
    <n v="24675"/>
    <n v="65"/>
    <x v="0"/>
    <s v="DailyWellness"/>
  </r>
  <r>
    <s v="P012"/>
    <x v="3"/>
    <d v="2024-07-21T00:00:00"/>
    <x v="0"/>
    <s v="Check out our latest reel on facebook!"/>
    <n v="1946"/>
    <n v="686"/>
    <n v="377"/>
    <n v="23352"/>
    <n v="22982"/>
    <n v="213"/>
    <x v="0"/>
    <s v="NewYearRefresh"/>
  </r>
  <r>
    <s v="P013"/>
    <x v="1"/>
    <d v="2024-11-18T00:00:00"/>
    <x v="3"/>
    <s v="Check out our latest carousel on youtube!"/>
    <n v="1171"/>
    <n v="286"/>
    <n v="231"/>
    <n v="22249"/>
    <n v="21282"/>
    <n v="114"/>
    <x v="4"/>
    <s v="SummerSplash"/>
  </r>
  <r>
    <s v="P014"/>
    <x v="3"/>
    <d v="2025-02-16T00:00:00"/>
    <x v="2"/>
    <s v="Check out our latest story on facebook!"/>
    <n v="4242"/>
    <n v="555"/>
    <n v="131"/>
    <n v="33936"/>
    <n v="33802"/>
    <n v="265"/>
    <x v="0"/>
    <m/>
  </r>
  <r>
    <s v="P015"/>
    <x v="3"/>
    <d v="2024-10-24T00:00:00"/>
    <x v="5"/>
    <s v="Check out our latest video on facebook!"/>
    <n v="3888"/>
    <n v="604"/>
    <n v="128"/>
    <n v="77760"/>
    <n v="77167"/>
    <n v="20"/>
    <x v="0"/>
    <s v="SummerSplash"/>
  </r>
  <r>
    <s v="P016"/>
    <x v="3"/>
    <d v="2024-08-26T00:00:00"/>
    <x v="1"/>
    <s v="Check out our latest text on facebook!"/>
    <n v="3452"/>
    <n v="377"/>
    <n v="360"/>
    <n v="55232"/>
    <n v="55075"/>
    <n v="87"/>
    <x v="0"/>
    <s v="NewYearRefresh"/>
  </r>
  <r>
    <s v="P017"/>
    <x v="3"/>
    <d v="2025-05-05T00:00:00"/>
    <x v="1"/>
    <s v="Check out our latest text on facebook!"/>
    <n v="4441"/>
    <n v="511"/>
    <n v="70"/>
    <n v="53292"/>
    <n v="53082"/>
    <n v="159"/>
    <x v="4"/>
    <s v="DailyWellness"/>
  </r>
  <r>
    <s v="P018"/>
    <x v="2"/>
    <d v="2024-08-19T00:00:00"/>
    <x v="0"/>
    <s v="Check out our latest reel on instagram!"/>
    <n v="3000"/>
    <n v="382"/>
    <n v="325"/>
    <n v="36000"/>
    <n v="35819"/>
    <n v="19"/>
    <x v="0"/>
    <s v="SummerSplash"/>
  </r>
  <r>
    <s v="P019"/>
    <x v="2"/>
    <d v="2024-06-23T00:00:00"/>
    <x v="5"/>
    <s v="Check out our latest video on instagram!"/>
    <n v="1071"/>
    <n v="519"/>
    <n v="22"/>
    <n v="16065"/>
    <n v="15865"/>
    <n v="103"/>
    <x v="2"/>
    <s v="DailyWellness"/>
  </r>
  <r>
    <s v="P020"/>
    <x v="2"/>
    <d v="2024-09-09T00:00:00"/>
    <x v="3"/>
    <s v="Check out our latest carousel on instagram!"/>
    <n v="4054"/>
    <n v="488"/>
    <n v="373"/>
    <n v="77026"/>
    <n v="76881"/>
    <n v="25"/>
    <x v="2"/>
    <s v="SummerSplash"/>
  </r>
  <r>
    <s v="P021"/>
    <x v="2"/>
    <d v="2025-01-04T00:00:00"/>
    <x v="0"/>
    <s v="Check out our latest reel on instagram!"/>
    <n v="4838"/>
    <n v="640"/>
    <n v="128"/>
    <n v="72570"/>
    <n v="72396"/>
    <n v="83"/>
    <x v="0"/>
    <s v="DailyWellness"/>
  </r>
  <r>
    <s v="P022"/>
    <x v="3"/>
    <d v="2025-02-27T00:00:00"/>
    <x v="1"/>
    <s v="Check out our latest text on facebook!"/>
    <n v="1570"/>
    <n v="187"/>
    <n v="260"/>
    <n v="25120"/>
    <n v="24613"/>
    <n v="133"/>
    <x v="2"/>
    <s v="DailyWellness"/>
  </r>
  <r>
    <s v="P023"/>
    <x v="3"/>
    <d v="2024-11-06T00:00:00"/>
    <x v="5"/>
    <s v="Check out our latest video on facebook!"/>
    <n v="1606"/>
    <n v="547"/>
    <n v="316"/>
    <n v="32120"/>
    <n v="31736"/>
    <n v="225"/>
    <x v="2"/>
    <s v="FestiveRadiance"/>
  </r>
  <r>
    <s v="P023"/>
    <x v="3"/>
    <d v="2024-11-06T00:00:00"/>
    <x v="5"/>
    <s v="Check out our latest video on facebook!"/>
    <n v="1606"/>
    <n v="547"/>
    <n v="316"/>
    <n v="32120"/>
    <n v="31736"/>
    <n v="225"/>
    <x v="1"/>
    <s v="FestiveRadiance"/>
  </r>
  <r>
    <s v="P024"/>
    <x v="3"/>
    <d v="2025-01-23T00:00:00"/>
    <x v="5"/>
    <s v="Check out our latest video on facebook!"/>
    <n v="3961"/>
    <n v="761"/>
    <n v="131"/>
    <n v="67337"/>
    <n v="66615"/>
    <n v="161"/>
    <x v="0"/>
    <s v="NewYearRefresh"/>
  </r>
  <r>
    <s v="P025"/>
    <x v="0"/>
    <d v="2025-04-10T00:00:00"/>
    <x v="3"/>
    <s v="Check out our latest carousel on twitter!"/>
    <n v="3128"/>
    <n v="211"/>
    <n v="197"/>
    <n v="59432"/>
    <n v="59182"/>
    <n v="238"/>
    <x v="4"/>
    <m/>
  </r>
  <r>
    <s v="P026"/>
    <x v="1"/>
    <d v="2025-04-05T00:00:00"/>
    <x v="0"/>
    <s v="Check out our latest reel on youtube!"/>
    <n v="3009"/>
    <n v="413"/>
    <n v="358"/>
    <n v="42126"/>
    <n v="41309"/>
    <n v="211"/>
    <x v="0"/>
    <s v="FestiveRadiance"/>
  </r>
  <r>
    <s v="P027"/>
    <x v="1"/>
    <d v="2024-09-17T00:00:00"/>
    <x v="1"/>
    <s v="Check out our latest text on youtube!"/>
    <n v="2076"/>
    <n v="195"/>
    <n v="104"/>
    <n v="33216"/>
    <n v="32244"/>
    <n v="51"/>
    <x v="0"/>
    <s v="DailyWellness"/>
  </r>
  <r>
    <s v="P028"/>
    <x v="2"/>
    <d v="2025-03-04T00:00:00"/>
    <x v="5"/>
    <s v="Check out our latest video on instagram!"/>
    <n v="432"/>
    <n v="624"/>
    <n v="123"/>
    <n v="6912"/>
    <n v="6259"/>
    <n v="79"/>
    <x v="0"/>
    <s v="DailyWellness"/>
  </r>
  <r>
    <s v="P029"/>
    <x v="2"/>
    <d v="2025-01-31T00:00:00"/>
    <x v="3"/>
    <s v="Check out our latest carousel on instagram!"/>
    <n v="2566"/>
    <n v="118"/>
    <n v="37"/>
    <n v="12830"/>
    <n v="12264"/>
    <n v="221"/>
    <x v="0"/>
    <s v="NewYearRefresh"/>
  </r>
  <r>
    <s v="P030"/>
    <x v="2"/>
    <d v="2025-02-25T00:00:00"/>
    <x v="5"/>
    <s v="Check out our latest video on instagram!"/>
    <n v="3095"/>
    <n v="39"/>
    <n v="78"/>
    <n v="55710"/>
    <n v="54808"/>
    <n v="93"/>
    <x v="4"/>
    <m/>
  </r>
  <r>
    <s v="P031"/>
    <x v="2"/>
    <d v="2024-12-16T00:00:00"/>
    <x v="1"/>
    <s v="Check out our latest text on instagram!"/>
    <n v="438"/>
    <n v="153"/>
    <n v="275"/>
    <n v="3066"/>
    <n v="2701"/>
    <n v="282"/>
    <x v="2"/>
    <s v="FestiveRadiance"/>
  </r>
  <r>
    <s v="P032"/>
    <x v="0"/>
    <d v="2024-07-31T00:00:00"/>
    <x v="3"/>
    <s v="Check out our latest carousel on twitter!"/>
    <n v="2278"/>
    <n v="10"/>
    <n v="321"/>
    <n v="13668"/>
    <n v="12676"/>
    <n v="275"/>
    <x v="4"/>
    <s v="SummerSplash"/>
  </r>
  <r>
    <s v="P033"/>
    <x v="3"/>
    <d v="2024-08-21T00:00:00"/>
    <x v="4"/>
    <s v="Check out our latest image on facebook!"/>
    <n v="1407"/>
    <n v="400"/>
    <n v="351"/>
    <n v="16884"/>
    <n v="15954"/>
    <n v="113"/>
    <x v="2"/>
    <s v="SummerSplash"/>
  </r>
  <r>
    <s v="P034"/>
    <x v="3"/>
    <d v="2025-03-26T00:00:00"/>
    <x v="1"/>
    <s v="Check out our latest text on facebook!"/>
    <n v="1652"/>
    <n v="89"/>
    <n v="357"/>
    <n v="29736"/>
    <n v="28771"/>
    <n v="215"/>
    <x v="2"/>
    <s v="NewYearRefresh"/>
  </r>
  <r>
    <s v="P035"/>
    <x v="2"/>
    <d v="2024-11-30T00:00:00"/>
    <x v="5"/>
    <s v="Check out our latest video on instagram!"/>
    <n v="3775"/>
    <n v="16"/>
    <n v="239"/>
    <n v="33975"/>
    <n v="33310"/>
    <n v="271"/>
    <x v="0"/>
    <s v="FestiveRadiance"/>
  </r>
  <r>
    <s v="P036"/>
    <x v="2"/>
    <d v="2025-04-19T00:00:00"/>
    <x v="2"/>
    <s v="Check out our latest story on instagram!"/>
    <n v="4518"/>
    <n v="285"/>
    <n v="383"/>
    <n v="67770"/>
    <n v="67621"/>
    <n v="31"/>
    <x v="4"/>
    <s v="FestiveRadiance"/>
  </r>
  <r>
    <s v="P037"/>
    <x v="3"/>
    <d v="2025-01-06T00:00:00"/>
    <x v="3"/>
    <s v="Check out our latest carousel on facebook!"/>
    <n v="3024"/>
    <n v="925"/>
    <n v="350"/>
    <n v="24192"/>
    <n v="23518"/>
    <n v="36"/>
    <x v="4"/>
    <s v="FestiveRadiance"/>
  </r>
  <r>
    <s v="P038"/>
    <x v="1"/>
    <d v="2025-02-17T00:00:00"/>
    <x v="0"/>
    <s v="Check out our latest reel on youtube!"/>
    <n v="3138"/>
    <n v="123"/>
    <n v="291"/>
    <n v="28242"/>
    <n v="27550"/>
    <n v="87"/>
    <x v="2"/>
    <s v="DailyWellness"/>
  </r>
  <r>
    <s v="P039"/>
    <x v="3"/>
    <d v="2024-11-25T00:00:00"/>
    <x v="4"/>
    <s v="Check out our latest image on facebook!"/>
    <n v="3564"/>
    <n v="629"/>
    <n v="177"/>
    <n v="60588"/>
    <n v="59627"/>
    <n v="92"/>
    <x v="2"/>
    <m/>
  </r>
  <r>
    <s v="P040"/>
    <x v="0"/>
    <d v="2025-03-07T00:00:00"/>
    <x v="4"/>
    <s v="Check out our latest image on twitter!"/>
    <n v="4750"/>
    <n v="151"/>
    <n v="415"/>
    <n v="38000"/>
    <n v="37792"/>
    <n v="299"/>
    <x v="4"/>
    <s v="DailyWellness"/>
  </r>
  <r>
    <s v="P041"/>
    <x v="2"/>
    <d v="2025-03-08T00:00:00"/>
    <x v="0"/>
    <s v="Check out our latest reel on instagram!"/>
    <n v="456"/>
    <n v="629"/>
    <n v="428"/>
    <n v="8208"/>
    <n v="7377"/>
    <n v="205"/>
    <x v="0"/>
    <s v="DailyWellness"/>
  </r>
  <r>
    <s v="P042"/>
    <x v="1"/>
    <d v="2025-03-05T00:00:00"/>
    <x v="0"/>
    <s v="Check out our latest reel on youtube!"/>
    <n v="1543"/>
    <n v="820"/>
    <n v="333"/>
    <n v="12344"/>
    <n v="11496"/>
    <n v="241"/>
    <x v="4"/>
    <m/>
  </r>
  <r>
    <s v="P043"/>
    <x v="2"/>
    <d v="2024-12-14T00:00:00"/>
    <x v="3"/>
    <s v="Check out our latest carousel on instagram!"/>
    <n v="2174"/>
    <n v="658"/>
    <n v="15"/>
    <n v="13044"/>
    <n v="12206"/>
    <n v="137"/>
    <x v="2"/>
    <s v="NewYearRefresh"/>
  </r>
  <r>
    <s v="P044"/>
    <x v="0"/>
    <d v="2025-03-02T00:00:00"/>
    <x v="4"/>
    <s v="Check out our latest image on twitter!"/>
    <n v="2358"/>
    <n v="784"/>
    <n v="344"/>
    <n v="35370"/>
    <n v="34475"/>
    <n v="216"/>
    <x v="2"/>
    <m/>
  </r>
  <r>
    <s v="P045"/>
    <x v="3"/>
    <d v="2024-11-01T00:00:00"/>
    <x v="5"/>
    <s v="Check out our latest video on facebook!"/>
    <n v="3371"/>
    <n v="106"/>
    <n v="327"/>
    <n v="50565"/>
    <n v="49816"/>
    <n v="176"/>
    <x v="0"/>
    <s v="SummerSplash"/>
  </r>
  <r>
    <s v="P046"/>
    <x v="0"/>
    <d v="2025-05-02T00:00:00"/>
    <x v="5"/>
    <s v="Check out our latest video on twitter!"/>
    <n v="1108"/>
    <n v="177"/>
    <n v="212"/>
    <n v="8864"/>
    <n v="8710"/>
    <n v="97"/>
    <x v="2"/>
    <s v="DailyWellness"/>
  </r>
  <r>
    <s v="P047"/>
    <x v="0"/>
    <d v="2025-02-24T00:00:00"/>
    <x v="3"/>
    <s v="Check out our latest carousel on twitter!"/>
    <n v="2704"/>
    <n v="752"/>
    <n v="153"/>
    <n v="21632"/>
    <n v="20792"/>
    <n v="127"/>
    <x v="0"/>
    <m/>
  </r>
  <r>
    <s v="P048"/>
    <x v="0"/>
    <d v="2025-03-11T00:00:00"/>
    <x v="2"/>
    <s v="Check out our latest story on twitter!"/>
    <n v="1950"/>
    <n v="295"/>
    <n v="478"/>
    <n v="37050"/>
    <n v="36272"/>
    <n v="119"/>
    <x v="2"/>
    <m/>
  </r>
  <r>
    <s v="P049"/>
    <x v="0"/>
    <d v="2024-06-10T00:00:00"/>
    <x v="2"/>
    <s v="Check out our latest story on twitter!"/>
    <n v="2164"/>
    <n v="549"/>
    <n v="274"/>
    <n v="28132"/>
    <n v="27361"/>
    <n v="177"/>
    <x v="2"/>
    <s v="DailyWellness"/>
  </r>
  <r>
    <s v="P050"/>
    <x v="1"/>
    <d v="2024-07-03T00:00:00"/>
    <x v="2"/>
    <s v="Check out our latest story on youtube!"/>
    <n v="2754"/>
    <n v="130"/>
    <n v="90"/>
    <n v="22032"/>
    <n v="21288"/>
    <n v="112"/>
    <x v="2"/>
    <s v="NewYearRefresh"/>
  </r>
  <r>
    <s v="P051"/>
    <x v="3"/>
    <d v="2024-06-13T00:00:00"/>
    <x v="3"/>
    <s v="Check out our latest carousel on facebook!"/>
    <n v="2200"/>
    <n v="504"/>
    <n v="239"/>
    <n v="37400"/>
    <n v="36938"/>
    <n v="225"/>
    <x v="0"/>
    <s v="FestiveRadiance"/>
  </r>
  <r>
    <s v="P052"/>
    <x v="3"/>
    <d v="2025-01-03T00:00:00"/>
    <x v="4"/>
    <s v="Check out our latest image on facebook!"/>
    <n v="947"/>
    <n v="338"/>
    <n v="350"/>
    <n v="10417"/>
    <n v="9730"/>
    <n v="34"/>
    <x v="2"/>
    <s v="DailyWellness"/>
  </r>
  <r>
    <s v="P053"/>
    <x v="1"/>
    <d v="2025-02-24T00:00:00"/>
    <x v="3"/>
    <s v="Check out our latest carousel on youtube!"/>
    <n v="804"/>
    <n v="639"/>
    <n v="43"/>
    <n v="4020"/>
    <n v="3144"/>
    <n v="11"/>
    <x v="4"/>
    <m/>
  </r>
  <r>
    <s v="P053"/>
    <x v="1"/>
    <d v="2025-02-24T00:00:00"/>
    <x v="3"/>
    <s v="Check out our latest carousel on youtube!"/>
    <n v="804"/>
    <n v="639"/>
    <n v="43"/>
    <n v="4020"/>
    <n v="3144"/>
    <n v="11"/>
    <x v="3"/>
    <m/>
  </r>
  <r>
    <s v="P054"/>
    <x v="1"/>
    <d v="2025-03-13T00:00:00"/>
    <x v="3"/>
    <s v="Check out our latest carousel on youtube!"/>
    <n v="1686"/>
    <n v="904"/>
    <n v="472"/>
    <n v="18546"/>
    <n v="18171"/>
    <n v="52"/>
    <x v="0"/>
    <s v="FestiveRadiance"/>
  </r>
  <r>
    <s v="P055"/>
    <x v="3"/>
    <d v="2024-06-17T00:00:00"/>
    <x v="4"/>
    <s v="Check out our latest image on facebook!"/>
    <n v="1226"/>
    <n v="119"/>
    <n v="7"/>
    <n v="14712"/>
    <n v="14049"/>
    <n v="123"/>
    <x v="4"/>
    <s v="DailyWellness"/>
  </r>
  <r>
    <s v="P056"/>
    <x v="3"/>
    <d v="2024-12-18T00:00:00"/>
    <x v="3"/>
    <s v="Check out our latest carousel on facebook!"/>
    <n v="2946"/>
    <n v="498"/>
    <n v="367"/>
    <n v="29460"/>
    <n v="28527"/>
    <n v="60"/>
    <x v="0"/>
    <s v="NewYearRefresh"/>
  </r>
  <r>
    <s v="P057"/>
    <x v="0"/>
    <d v="2024-10-21T00:00:00"/>
    <x v="5"/>
    <s v="Check out our latest video on twitter!"/>
    <n v="2825"/>
    <n v="535"/>
    <n v="295"/>
    <n v="45200"/>
    <n v="44739"/>
    <n v="169"/>
    <x v="2"/>
    <s v="SummerSplash"/>
  </r>
  <r>
    <s v="P058"/>
    <x v="2"/>
    <d v="2025-04-15T00:00:00"/>
    <x v="0"/>
    <s v="Check out our latest reel on instagram!"/>
    <n v="103"/>
    <n v="770"/>
    <n v="19"/>
    <n v="1030"/>
    <n v="410"/>
    <n v="262"/>
    <x v="2"/>
    <s v="DailyWellness"/>
  </r>
  <r>
    <s v="P059"/>
    <x v="2"/>
    <d v="2024-06-22T00:00:00"/>
    <x v="1"/>
    <s v="Check out our latest text on instagram!"/>
    <n v="2180"/>
    <n v="263"/>
    <n v="387"/>
    <n v="30520"/>
    <n v="30059"/>
    <n v="174"/>
    <x v="4"/>
    <m/>
  </r>
  <r>
    <s v="P060"/>
    <x v="2"/>
    <d v="2025-01-28T00:00:00"/>
    <x v="5"/>
    <s v="Check out our latest video on instagram!"/>
    <n v="904"/>
    <n v="973"/>
    <n v="63"/>
    <n v="11752"/>
    <n v="11580"/>
    <n v="84"/>
    <x v="4"/>
    <s v="NewYearRefresh"/>
  </r>
  <r>
    <s v="P060"/>
    <x v="2"/>
    <d v="2025-01-28T00:00:00"/>
    <x v="5"/>
    <s v="Check out our latest video on instagram!"/>
    <n v="904"/>
    <n v="973"/>
    <n v="63"/>
    <n v="11752"/>
    <n v="11580"/>
    <n v="84"/>
    <x v="2"/>
    <s v="NewYearRefresh"/>
  </r>
  <r>
    <s v="P060"/>
    <x v="2"/>
    <d v="2025-01-28T00:00:00"/>
    <x v="5"/>
    <s v="Check out our latest video on instagram!"/>
    <n v="904"/>
    <n v="973"/>
    <n v="63"/>
    <n v="11752"/>
    <n v="11580"/>
    <n v="84"/>
    <x v="1"/>
    <s v="NewYearRefresh"/>
  </r>
  <r>
    <s v="P061"/>
    <x v="0"/>
    <d v="2024-09-05T00:00:00"/>
    <x v="5"/>
    <s v="Check out our latest video on twitter!"/>
    <n v="4886"/>
    <n v="983"/>
    <n v="409"/>
    <n v="43974"/>
    <n v="43239"/>
    <n v="65"/>
    <x v="2"/>
    <s v="SummerSplash"/>
  </r>
  <r>
    <s v="P062"/>
    <x v="0"/>
    <d v="2024-11-22T00:00:00"/>
    <x v="3"/>
    <s v="Check out our latest carousel on twitter!"/>
    <n v="53"/>
    <n v="81"/>
    <n v="379"/>
    <n v="954"/>
    <n v="7"/>
    <n v="148"/>
    <x v="2"/>
    <s v="NewYearRefresh"/>
  </r>
  <r>
    <s v="P063"/>
    <x v="0"/>
    <d v="2024-07-31T00:00:00"/>
    <x v="3"/>
    <s v="Check out our latest carousel on twitter!"/>
    <n v="4507"/>
    <n v="217"/>
    <n v="13"/>
    <n v="90140"/>
    <n v="89591"/>
    <n v="125"/>
    <x v="0"/>
    <s v="NewYearRefresh"/>
  </r>
  <r>
    <s v="P064"/>
    <x v="3"/>
    <d v="2024-08-17T00:00:00"/>
    <x v="4"/>
    <s v="Check out our latest image on facebook!"/>
    <n v="2878"/>
    <n v="248"/>
    <n v="416"/>
    <n v="43170"/>
    <n v="42667"/>
    <n v="75"/>
    <x v="0"/>
    <s v="NewYearRefresh"/>
  </r>
  <r>
    <s v="P065"/>
    <x v="2"/>
    <d v="2025-03-28T00:00:00"/>
    <x v="2"/>
    <s v="Check out our latest story on instagram!"/>
    <n v="1881"/>
    <n v="501"/>
    <n v="99"/>
    <n v="20691"/>
    <n v="19987"/>
    <n v="289"/>
    <x v="4"/>
    <m/>
  </r>
  <r>
    <s v="P066"/>
    <x v="0"/>
    <d v="2024-07-26T00:00:00"/>
    <x v="3"/>
    <s v="Check out our latest carousel on twitter!"/>
    <n v="432"/>
    <n v="171"/>
    <n v="280"/>
    <n v="3024"/>
    <n v="2285"/>
    <n v="184"/>
    <x v="4"/>
    <s v="SummerSplash"/>
  </r>
  <r>
    <s v="P067"/>
    <x v="3"/>
    <d v="2025-03-29T00:00:00"/>
    <x v="3"/>
    <s v="Check out our latest carousel on facebook!"/>
    <n v="4712"/>
    <n v="568"/>
    <n v="127"/>
    <n v="84816"/>
    <n v="84691"/>
    <n v="100"/>
    <x v="4"/>
    <s v="NewYearRefresh"/>
  </r>
  <r>
    <s v="P068"/>
    <x v="2"/>
    <d v="2024-12-08T00:00:00"/>
    <x v="2"/>
    <s v="Check out our latest story on instagram!"/>
    <n v="2610"/>
    <n v="126"/>
    <n v="288"/>
    <n v="15660"/>
    <n v="15145"/>
    <n v="73"/>
    <x v="4"/>
    <m/>
  </r>
  <r>
    <s v="P069"/>
    <x v="0"/>
    <d v="2025-03-08T00:00:00"/>
    <x v="1"/>
    <s v="Check out our latest text on twitter!"/>
    <n v="1292"/>
    <n v="626"/>
    <n v="496"/>
    <n v="25840"/>
    <n v="24916"/>
    <n v="149"/>
    <x v="0"/>
    <s v="NewYearRefresh"/>
  </r>
  <r>
    <s v="P070"/>
    <x v="3"/>
    <d v="2025-04-02T00:00:00"/>
    <x v="5"/>
    <s v="Check out our latest video on facebook!"/>
    <n v="199"/>
    <n v="772"/>
    <n v="400"/>
    <n v="3582"/>
    <n v="2988"/>
    <n v="43"/>
    <x v="2"/>
    <m/>
  </r>
  <r>
    <s v="P071"/>
    <x v="1"/>
    <d v="2024-09-02T00:00:00"/>
    <x v="3"/>
    <s v="Check out our latest carousel on youtube!"/>
    <n v="2551"/>
    <n v="915"/>
    <n v="205"/>
    <n v="30612"/>
    <n v="30360"/>
    <n v="227"/>
    <x v="2"/>
    <s v="FestiveRadiance"/>
  </r>
  <r>
    <s v="P072"/>
    <x v="1"/>
    <d v="2025-03-03T00:00:00"/>
    <x v="0"/>
    <s v="Check out our latest reel on youtube!"/>
    <n v="296"/>
    <n v="60"/>
    <n v="141"/>
    <n v="5624"/>
    <n v="5239"/>
    <n v="88"/>
    <x v="4"/>
    <s v="FestiveRadiance"/>
  </r>
  <r>
    <s v="P073"/>
    <x v="3"/>
    <d v="2024-10-18T00:00:00"/>
    <x v="2"/>
    <s v="Check out our latest story on facebook!"/>
    <n v="4126"/>
    <n v="426"/>
    <n v="486"/>
    <n v="78394"/>
    <n v="77798"/>
    <n v="88"/>
    <x v="0"/>
    <s v="DailyWellness"/>
  </r>
  <r>
    <s v="P074"/>
    <x v="1"/>
    <d v="2024-10-28T00:00:00"/>
    <x v="0"/>
    <s v="Check out our latest reel on youtube!"/>
    <n v="1855"/>
    <n v="200"/>
    <n v="174"/>
    <n v="16695"/>
    <n v="16330"/>
    <n v="123"/>
    <x v="2"/>
    <s v="NewYearRefresh"/>
  </r>
  <r>
    <s v="P075"/>
    <x v="2"/>
    <d v="2024-08-01T00:00:00"/>
    <x v="0"/>
    <s v="Check out our latest reel on instagram!"/>
    <n v="1674"/>
    <n v="929"/>
    <n v="37"/>
    <n v="21762"/>
    <n v="20998"/>
    <n v="255"/>
    <x v="2"/>
    <s v="DailyWellness"/>
  </r>
  <r>
    <s v="P076"/>
    <x v="0"/>
    <d v="2024-11-07T00:00:00"/>
    <x v="2"/>
    <s v="Check out our latest story on twitter!"/>
    <n v="1121"/>
    <n v="135"/>
    <n v="18"/>
    <n v="15694"/>
    <n v="14957"/>
    <n v="99"/>
    <x v="2"/>
    <s v="DailyWellness"/>
  </r>
  <r>
    <s v="P077"/>
    <x v="3"/>
    <d v="2025-03-04T00:00:00"/>
    <x v="2"/>
    <s v="Check out our latest story on facebook!"/>
    <n v="1249"/>
    <n v="116"/>
    <n v="420"/>
    <n v="8743"/>
    <n v="8538"/>
    <n v="63"/>
    <x v="2"/>
    <m/>
  </r>
  <r>
    <s v="P078"/>
    <x v="0"/>
    <d v="2024-06-17T00:00:00"/>
    <x v="4"/>
    <s v="Check out our latest image on twitter!"/>
    <n v="954"/>
    <n v="324"/>
    <n v="288"/>
    <n v="19080"/>
    <n v="18859"/>
    <n v="21"/>
    <x v="0"/>
    <s v="DailyWellness"/>
  </r>
  <r>
    <s v="P079"/>
    <x v="2"/>
    <d v="2024-10-09T00:00:00"/>
    <x v="3"/>
    <s v="Check out our latest carousel on instagram!"/>
    <n v="3068"/>
    <n v="137"/>
    <n v="329"/>
    <n v="39884"/>
    <n v="39404"/>
    <n v="266"/>
    <x v="4"/>
    <s v="FestiveRadiance"/>
  </r>
  <r>
    <s v="P080"/>
    <x v="2"/>
    <d v="2024-06-13T00:00:00"/>
    <x v="2"/>
    <s v="Check out our latest story on instagram!"/>
    <n v="2103"/>
    <n v="892"/>
    <n v="103"/>
    <n v="39957"/>
    <n v="39466"/>
    <n v="28"/>
    <x v="0"/>
    <m/>
  </r>
  <r>
    <s v="P081"/>
    <x v="2"/>
    <d v="2024-10-19T00:00:00"/>
    <x v="2"/>
    <s v="Check out our latest story on instagram!"/>
    <n v="1816"/>
    <n v="29"/>
    <n v="41"/>
    <n v="19976"/>
    <n v="19262"/>
    <n v="283"/>
    <x v="2"/>
    <s v="NewYearRefresh"/>
  </r>
  <r>
    <s v="P082"/>
    <x v="2"/>
    <d v="2024-07-24T00:00:00"/>
    <x v="4"/>
    <s v="Check out our latest image on instagram!"/>
    <n v="725"/>
    <n v="88"/>
    <n v="428"/>
    <n v="14500"/>
    <n v="13637"/>
    <n v="200"/>
    <x v="0"/>
    <s v="NewYearRefresh"/>
  </r>
  <r>
    <s v="P082"/>
    <x v="2"/>
    <d v="2024-07-24T00:00:00"/>
    <x v="4"/>
    <s v="Check out our latest image on instagram!"/>
    <n v="725"/>
    <n v="88"/>
    <n v="428"/>
    <n v="14500"/>
    <n v="13637"/>
    <n v="200"/>
    <x v="2"/>
    <s v="NewYearRefresh"/>
  </r>
  <r>
    <s v="P082"/>
    <x v="2"/>
    <d v="2024-07-24T00:00:00"/>
    <x v="4"/>
    <s v="Check out our latest image on instagram!"/>
    <n v="725"/>
    <n v="88"/>
    <n v="428"/>
    <n v="14500"/>
    <n v="13637"/>
    <n v="200"/>
    <x v="1"/>
    <s v="NewYearRefresh"/>
  </r>
  <r>
    <s v="P083"/>
    <x v="1"/>
    <d v="2024-10-15T00:00:00"/>
    <x v="5"/>
    <s v="Check out our latest video on youtube!"/>
    <n v="1094"/>
    <n v="472"/>
    <n v="21"/>
    <n v="9846"/>
    <n v="9609"/>
    <n v="112"/>
    <x v="4"/>
    <m/>
  </r>
  <r>
    <s v="P084"/>
    <x v="3"/>
    <d v="2024-12-09T00:00:00"/>
    <x v="4"/>
    <s v="Check out our latest image on facebook!"/>
    <n v="1841"/>
    <n v="851"/>
    <n v="342"/>
    <n v="34979"/>
    <n v="34154"/>
    <n v="255"/>
    <x v="0"/>
    <s v="DailyWellness"/>
  </r>
  <r>
    <s v="P085"/>
    <x v="2"/>
    <d v="2025-04-19T00:00:00"/>
    <x v="4"/>
    <s v="Check out our latest image on instagram!"/>
    <n v="4177"/>
    <n v="569"/>
    <n v="55"/>
    <n v="25062"/>
    <n v="24847"/>
    <n v="230"/>
    <x v="0"/>
    <s v="SummerSplash"/>
  </r>
  <r>
    <s v="P086"/>
    <x v="1"/>
    <d v="2025-01-27T00:00:00"/>
    <x v="1"/>
    <s v="Check out our latest text on youtube!"/>
    <n v="3428"/>
    <n v="305"/>
    <n v="85"/>
    <n v="58276"/>
    <n v="58052"/>
    <n v="242"/>
    <x v="4"/>
    <s v="DailyWellness"/>
  </r>
  <r>
    <s v="P086"/>
    <x v="1"/>
    <d v="2025-01-27T00:00:00"/>
    <x v="1"/>
    <s v="Check out our latest text on youtube!"/>
    <n v="3428"/>
    <n v="305"/>
    <n v="85"/>
    <n v="58276"/>
    <n v="58052"/>
    <n v="242"/>
    <x v="3"/>
    <s v="DailyWellness"/>
  </r>
  <r>
    <s v="P087"/>
    <x v="0"/>
    <d v="2024-06-06T00:00:00"/>
    <x v="5"/>
    <s v="Check out our latest video on twitter!"/>
    <n v="1436"/>
    <n v="765"/>
    <n v="496"/>
    <n v="12924"/>
    <n v="12701"/>
    <n v="197"/>
    <x v="0"/>
    <s v="NewYearRefresh"/>
  </r>
  <r>
    <s v="P088"/>
    <x v="3"/>
    <d v="2024-07-07T00:00:00"/>
    <x v="2"/>
    <s v="Check out our latest story on facebook!"/>
    <n v="302"/>
    <n v="47"/>
    <n v="430"/>
    <n v="5738"/>
    <n v="4890"/>
    <n v="25"/>
    <x v="2"/>
    <s v="DailyWellness"/>
  </r>
  <r>
    <s v="P089"/>
    <x v="0"/>
    <d v="2025-01-10T00:00:00"/>
    <x v="4"/>
    <s v="Check out our latest image on twitter!"/>
    <n v="2214"/>
    <n v="249"/>
    <n v="152"/>
    <n v="15498"/>
    <n v="14800"/>
    <n v="180"/>
    <x v="4"/>
    <m/>
  </r>
  <r>
    <s v="P090"/>
    <x v="2"/>
    <d v="2024-06-03T00:00:00"/>
    <x v="4"/>
    <s v="Check out our latest image on instagram!"/>
    <n v="3861"/>
    <n v="960"/>
    <n v="101"/>
    <n v="69498"/>
    <n v="68817"/>
    <n v="297"/>
    <x v="2"/>
    <s v="DailyWellness"/>
  </r>
  <r>
    <s v="P091"/>
    <x v="3"/>
    <d v="2025-03-24T00:00:00"/>
    <x v="4"/>
    <s v="Check out our latest image on facebook!"/>
    <n v="1263"/>
    <n v="397"/>
    <n v="357"/>
    <n v="25260"/>
    <n v="24615"/>
    <n v="137"/>
    <x v="4"/>
    <s v="DailyWellness"/>
  </r>
  <r>
    <s v="P092"/>
    <x v="0"/>
    <d v="2024-10-21T00:00:00"/>
    <x v="2"/>
    <s v="Check out our latest story on twitter!"/>
    <n v="3801"/>
    <n v="967"/>
    <n v="401"/>
    <n v="38010"/>
    <n v="37625"/>
    <n v="236"/>
    <x v="0"/>
    <s v="NewYearRefresh"/>
  </r>
  <r>
    <s v="P093"/>
    <x v="2"/>
    <d v="2024-12-11T00:00:00"/>
    <x v="5"/>
    <s v="Check out our latest video on instagram!"/>
    <n v="1431"/>
    <n v="951"/>
    <n v="26"/>
    <n v="8586"/>
    <n v="8396"/>
    <n v="150"/>
    <x v="4"/>
    <s v="NewYearRefresh"/>
  </r>
  <r>
    <s v="P094"/>
    <x v="2"/>
    <d v="2024-11-07T00:00:00"/>
    <x v="4"/>
    <s v="Check out our latest image on instagram!"/>
    <n v="2647"/>
    <n v="304"/>
    <n v="170"/>
    <n v="18529"/>
    <n v="17841"/>
    <n v="46"/>
    <x v="0"/>
    <s v="NewYearRefresh"/>
  </r>
  <r>
    <s v="P095"/>
    <x v="2"/>
    <d v="2024-11-08T00:00:00"/>
    <x v="1"/>
    <s v="Check out our latest text on instagram!"/>
    <n v="3182"/>
    <n v="559"/>
    <n v="160"/>
    <n v="57276"/>
    <n v="56890"/>
    <n v="163"/>
    <x v="0"/>
    <s v="DailyWellness"/>
  </r>
  <r>
    <s v="P096"/>
    <x v="0"/>
    <d v="2024-09-10T00:00:00"/>
    <x v="4"/>
    <s v="Check out our latest image on twitter!"/>
    <n v="1238"/>
    <n v="366"/>
    <n v="444"/>
    <n v="19808"/>
    <n v="19334"/>
    <n v="123"/>
    <x v="0"/>
    <m/>
  </r>
  <r>
    <s v="P097"/>
    <x v="2"/>
    <d v="2024-08-13T00:00:00"/>
    <x v="4"/>
    <s v="Check out our latest image on instagram!"/>
    <n v="4739"/>
    <n v="527"/>
    <n v="135"/>
    <n v="61607"/>
    <n v="61333"/>
    <n v="36"/>
    <x v="2"/>
    <s v="FestiveRadiance"/>
  </r>
  <r>
    <s v="P097"/>
    <x v="2"/>
    <d v="2024-08-13T00:00:00"/>
    <x v="4"/>
    <s v="Check out our latest image on instagram!"/>
    <n v="4739"/>
    <n v="527"/>
    <n v="135"/>
    <n v="61607"/>
    <n v="61333"/>
    <n v="36"/>
    <x v="1"/>
    <s v="FestiveRadiance"/>
  </r>
  <r>
    <s v="P098"/>
    <x v="0"/>
    <d v="2024-06-10T00:00:00"/>
    <x v="2"/>
    <s v="Check out our latest story on twitter!"/>
    <n v="1575"/>
    <n v="771"/>
    <n v="486"/>
    <n v="25200"/>
    <n v="24826"/>
    <n v="17"/>
    <x v="0"/>
    <s v="DailyWellness"/>
  </r>
  <r>
    <s v="P099"/>
    <x v="1"/>
    <d v="2024-07-02T00:00:00"/>
    <x v="3"/>
    <s v="Check out our latest carousel on youtube!"/>
    <n v="4171"/>
    <n v="548"/>
    <n v="86"/>
    <n v="66736"/>
    <n v="66634"/>
    <n v="173"/>
    <x v="0"/>
    <s v="NewYearRefresh"/>
  </r>
  <r>
    <s v="P100"/>
    <x v="1"/>
    <d v="2025-02-10T00:00:00"/>
    <x v="5"/>
    <s v="Check out our latest video on youtube!"/>
    <n v="1766"/>
    <n v="92"/>
    <n v="424"/>
    <n v="24724"/>
    <n v="24333"/>
    <n v="52"/>
    <x v="4"/>
    <m/>
  </r>
  <r>
    <s v="P101"/>
    <x v="1"/>
    <d v="2024-10-18T00:00:00"/>
    <x v="5"/>
    <s v="Check out our latest video on youtube!"/>
    <n v="4450"/>
    <n v="983"/>
    <n v="143"/>
    <n v="75650"/>
    <n v="75008"/>
    <n v="12"/>
    <x v="0"/>
    <s v="NewYearRefresh"/>
  </r>
  <r>
    <s v="P102"/>
    <x v="0"/>
    <d v="2024-09-18T00:00:00"/>
    <x v="0"/>
    <s v="Check out our latest reel on twitter!"/>
    <n v="1000"/>
    <n v="978"/>
    <n v="162"/>
    <n v="6000"/>
    <n v="5221"/>
    <n v="223"/>
    <x v="4"/>
    <s v="FestiveRadiance"/>
  </r>
  <r>
    <s v="P103"/>
    <x v="3"/>
    <d v="2024-06-11T00:00:00"/>
    <x v="4"/>
    <s v="Check out our latest image on facebook!"/>
    <n v="3689"/>
    <n v="48"/>
    <n v="306"/>
    <n v="40579"/>
    <n v="39588"/>
    <n v="212"/>
    <x v="4"/>
    <s v="FestiveRadiance"/>
  </r>
  <r>
    <s v="P104"/>
    <x v="1"/>
    <d v="2025-03-23T00:00:00"/>
    <x v="2"/>
    <s v="Check out our latest story on youtube!"/>
    <n v="3655"/>
    <n v="568"/>
    <n v="286"/>
    <n v="32895"/>
    <n v="32015"/>
    <n v="199"/>
    <x v="2"/>
    <s v="NewYearRefresh"/>
  </r>
  <r>
    <s v="P105"/>
    <x v="2"/>
    <d v="2024-06-14T00:00:00"/>
    <x v="3"/>
    <s v="Check out our latest carousel on instagram!"/>
    <n v="498"/>
    <n v="38"/>
    <n v="42"/>
    <n v="4482"/>
    <n v="3647"/>
    <n v="32"/>
    <x v="0"/>
    <s v="SummerSplash"/>
  </r>
  <r>
    <s v="P106"/>
    <x v="2"/>
    <d v="2025-02-04T00:00:00"/>
    <x v="4"/>
    <s v="Check out our latest image on instagram!"/>
    <n v="4619"/>
    <n v="821"/>
    <n v="499"/>
    <n v="69285"/>
    <n v="69141"/>
    <n v="298"/>
    <x v="2"/>
    <s v="DailyWellness"/>
  </r>
  <r>
    <s v="P107"/>
    <x v="1"/>
    <d v="2024-06-21T00:00:00"/>
    <x v="4"/>
    <s v="Check out our latest image on youtube!"/>
    <n v="4832"/>
    <n v="893"/>
    <n v="10"/>
    <n v="91808"/>
    <n v="91296"/>
    <n v="182"/>
    <x v="2"/>
    <m/>
  </r>
  <r>
    <s v="P108"/>
    <x v="0"/>
    <d v="2025-03-25T00:00:00"/>
    <x v="5"/>
    <s v="Check out our latest video on twitter!"/>
    <n v="4050"/>
    <n v="871"/>
    <n v="347"/>
    <n v="52650"/>
    <n v="51755"/>
    <n v="209"/>
    <x v="2"/>
    <s v="FestiveRadiance"/>
  </r>
  <r>
    <s v="P109"/>
    <x v="0"/>
    <d v="2024-08-08T00:00:00"/>
    <x v="2"/>
    <s v="Check out our latest story on twitter!"/>
    <n v="3649"/>
    <n v="215"/>
    <n v="413"/>
    <n v="25543"/>
    <n v="24963"/>
    <n v="167"/>
    <x v="0"/>
    <s v="NewYearRefresh"/>
  </r>
  <r>
    <s v="P110"/>
    <x v="2"/>
    <d v="2024-07-29T00:00:00"/>
    <x v="0"/>
    <s v="Check out our latest reel on instagram!"/>
    <n v="3523"/>
    <n v="753"/>
    <n v="482"/>
    <n v="38753"/>
    <n v="38579"/>
    <n v="270"/>
    <x v="4"/>
    <s v="FestiveRadiance"/>
  </r>
  <r>
    <s v="P111"/>
    <x v="1"/>
    <d v="2024-11-23T00:00:00"/>
    <x v="4"/>
    <s v="Check out our latest image on youtube!"/>
    <n v="2719"/>
    <n v="17"/>
    <n v="285"/>
    <n v="40785"/>
    <n v="40281"/>
    <n v="40"/>
    <x v="2"/>
    <s v="FestiveRadiance"/>
  </r>
  <r>
    <s v="P112"/>
    <x v="0"/>
    <d v="2024-10-05T00:00:00"/>
    <x v="2"/>
    <s v="Check out our latest story on twitter!"/>
    <n v="1957"/>
    <n v="877"/>
    <n v="238"/>
    <n v="17613"/>
    <n v="16865"/>
    <n v="297"/>
    <x v="0"/>
    <s v="NewYearRefresh"/>
  </r>
  <r>
    <s v="P113"/>
    <x v="0"/>
    <d v="2024-10-02T00:00:00"/>
    <x v="3"/>
    <s v="Check out our latest carousel on twitter!"/>
    <n v="4419"/>
    <n v="236"/>
    <n v="369"/>
    <n v="44190"/>
    <n v="43582"/>
    <n v="10"/>
    <x v="4"/>
    <s v="SummerSplash"/>
  </r>
  <r>
    <s v="P114"/>
    <x v="0"/>
    <d v="2024-11-14T00:00:00"/>
    <x v="2"/>
    <s v="Check out our latest story on twitter!"/>
    <n v="4000"/>
    <n v="689"/>
    <n v="488"/>
    <n v="40000"/>
    <n v="39569"/>
    <n v="44"/>
    <x v="0"/>
    <s v="SummerSplash"/>
  </r>
  <r>
    <s v="P115"/>
    <x v="0"/>
    <d v="2025-05-11T00:00:00"/>
    <x v="4"/>
    <s v="Check out our latest image on twitter!"/>
    <n v="2493"/>
    <n v="97"/>
    <n v="44"/>
    <n v="42381"/>
    <n v="41991"/>
    <n v="242"/>
    <x v="2"/>
    <s v="DailyWellness"/>
  </r>
  <r>
    <s v="P115"/>
    <x v="0"/>
    <d v="2025-05-11T00:00:00"/>
    <x v="4"/>
    <s v="Check out our latest image on twitter!"/>
    <n v="2493"/>
    <n v="97"/>
    <n v="44"/>
    <n v="42381"/>
    <n v="41991"/>
    <n v="242"/>
    <x v="1"/>
    <s v="DailyWellness"/>
  </r>
  <r>
    <s v="P116"/>
    <x v="1"/>
    <d v="2025-03-18T00:00:00"/>
    <x v="0"/>
    <s v="Check out our latest reel on youtube!"/>
    <n v="3704"/>
    <n v="186"/>
    <n v="458"/>
    <n v="25928"/>
    <n v="25081"/>
    <n v="131"/>
    <x v="2"/>
    <m/>
  </r>
  <r>
    <s v="P117"/>
    <x v="0"/>
    <d v="2024-11-04T00:00:00"/>
    <x v="4"/>
    <s v="Check out our latest image on twitter!"/>
    <n v="1606"/>
    <n v="451"/>
    <n v="405"/>
    <n v="20878"/>
    <n v="20190"/>
    <n v="219"/>
    <x v="4"/>
    <s v="DailyWellness"/>
  </r>
  <r>
    <s v="P118"/>
    <x v="3"/>
    <d v="2024-11-04T00:00:00"/>
    <x v="4"/>
    <s v="Check out our latest image on facebook!"/>
    <n v="4551"/>
    <n v="714"/>
    <n v="207"/>
    <n v="68265"/>
    <n v="67754"/>
    <n v="57"/>
    <x v="0"/>
    <s v="NewYearRefresh"/>
  </r>
  <r>
    <s v="P119"/>
    <x v="2"/>
    <d v="2025-02-07T00:00:00"/>
    <x v="0"/>
    <s v="Check out our latest reel on instagram!"/>
    <n v="1970"/>
    <n v="675"/>
    <n v="478"/>
    <n v="9850"/>
    <n v="8924"/>
    <n v="117"/>
    <x v="0"/>
    <m/>
  </r>
  <r>
    <s v="P120"/>
    <x v="3"/>
    <d v="2024-10-21T00:00:00"/>
    <x v="2"/>
    <s v="Check out our latest story on facebook!"/>
    <n v="780"/>
    <n v="928"/>
    <n v="301"/>
    <n v="8580"/>
    <n v="8081"/>
    <n v="91"/>
    <x v="4"/>
    <s v="NewYearRefresh"/>
  </r>
  <r>
    <s v="P121"/>
    <x v="2"/>
    <d v="2024-07-29T00:00:00"/>
    <x v="2"/>
    <s v="Check out our latest story on instagram!"/>
    <n v="498"/>
    <n v="701"/>
    <n v="412"/>
    <n v="4980"/>
    <n v="4185"/>
    <n v="185"/>
    <x v="0"/>
    <m/>
  </r>
  <r>
    <s v="P122"/>
    <x v="2"/>
    <d v="2024-10-02T00:00:00"/>
    <x v="1"/>
    <s v="Check out our latest text on instagram!"/>
    <n v="3432"/>
    <n v="869"/>
    <n v="123"/>
    <n v="54912"/>
    <n v="53916"/>
    <n v="264"/>
    <x v="4"/>
    <s v="FestiveRadiance"/>
  </r>
  <r>
    <s v="P123"/>
    <x v="2"/>
    <d v="2024-06-14T00:00:00"/>
    <x v="2"/>
    <s v="Check out our latest story on instagram!"/>
    <n v="4363"/>
    <n v="649"/>
    <n v="140"/>
    <n v="21815"/>
    <n v="21481"/>
    <n v="157"/>
    <x v="4"/>
    <s v="SummerSplash"/>
  </r>
  <r>
    <s v="P124"/>
    <x v="1"/>
    <d v="2025-04-06T00:00:00"/>
    <x v="3"/>
    <s v="Check out our latest carousel on youtube!"/>
    <n v="736"/>
    <n v="771"/>
    <n v="225"/>
    <n v="5152"/>
    <n v="4706"/>
    <n v="19"/>
    <x v="4"/>
    <s v="SummerSplash"/>
  </r>
  <r>
    <s v="P125"/>
    <x v="0"/>
    <d v="2024-09-08T00:00:00"/>
    <x v="3"/>
    <s v="Check out our latest carousel on twitter!"/>
    <n v="3811"/>
    <n v="866"/>
    <n v="216"/>
    <n v="34299"/>
    <n v="34088"/>
    <n v="233"/>
    <x v="2"/>
    <s v="DailyWellness"/>
  </r>
  <r>
    <s v="P126"/>
    <x v="2"/>
    <d v="2025-03-28T00:00:00"/>
    <x v="3"/>
    <s v="Check out our latest carousel on instagram!"/>
    <n v="4158"/>
    <n v="167"/>
    <n v="241"/>
    <n v="45738"/>
    <n v="45183"/>
    <n v="142"/>
    <x v="0"/>
    <m/>
  </r>
  <r>
    <s v="P127"/>
    <x v="3"/>
    <d v="2025-01-27T00:00:00"/>
    <x v="0"/>
    <s v="Check out our latest reel on facebook!"/>
    <n v="3452"/>
    <n v="652"/>
    <n v="442"/>
    <n v="65588"/>
    <n v="65049"/>
    <n v="158"/>
    <x v="0"/>
    <s v="NewYearRefresh"/>
  </r>
  <r>
    <s v="P128"/>
    <x v="0"/>
    <d v="2025-01-10T00:00:00"/>
    <x v="4"/>
    <s v="Check out our latest image on twitter!"/>
    <n v="3092"/>
    <n v="106"/>
    <n v="291"/>
    <n v="27828"/>
    <n v="27217"/>
    <n v="102"/>
    <x v="0"/>
    <m/>
  </r>
  <r>
    <s v="P129"/>
    <x v="0"/>
    <d v="2024-07-21T00:00:00"/>
    <x v="1"/>
    <s v="Check out our latest text on twitter!"/>
    <n v="2147"/>
    <n v="430"/>
    <n v="393"/>
    <n v="17176"/>
    <n v="16483"/>
    <n v="170"/>
    <x v="2"/>
    <m/>
  </r>
  <r>
    <s v="P130"/>
    <x v="1"/>
    <d v="2024-09-29T00:00:00"/>
    <x v="0"/>
    <s v="Check out our latest reel on youtube!"/>
    <n v="2936"/>
    <n v="439"/>
    <n v="44"/>
    <n v="38168"/>
    <n v="37571"/>
    <n v="22"/>
    <x v="4"/>
    <s v="DailyWellness"/>
  </r>
  <r>
    <s v="P131"/>
    <x v="2"/>
    <d v="2024-10-21T00:00:00"/>
    <x v="0"/>
    <s v="Check out our latest reel on instagram!"/>
    <n v="4840"/>
    <n v="658"/>
    <n v="211"/>
    <n v="43560"/>
    <n v="43225"/>
    <n v="57"/>
    <x v="0"/>
    <s v="NewYearRefresh"/>
  </r>
  <r>
    <s v="P132"/>
    <x v="2"/>
    <d v="2025-03-04T00:00:00"/>
    <x v="2"/>
    <s v="Check out our latest story on instagram!"/>
    <n v="1947"/>
    <n v="842"/>
    <n v="101"/>
    <n v="21417"/>
    <n v="20967"/>
    <n v="186"/>
    <x v="0"/>
    <s v="FestiveRadiance"/>
  </r>
  <r>
    <s v="P133"/>
    <x v="3"/>
    <d v="2025-02-06T00:00:00"/>
    <x v="4"/>
    <s v="Check out our latest image on facebook!"/>
    <n v="2072"/>
    <n v="532"/>
    <n v="71"/>
    <n v="37296"/>
    <n v="36467"/>
    <n v="25"/>
    <x v="2"/>
    <s v="DailyWellness"/>
  </r>
  <r>
    <s v="P134"/>
    <x v="0"/>
    <d v="2025-04-24T00:00:00"/>
    <x v="0"/>
    <s v="Check out our latest reel on twitter!"/>
    <n v="3731"/>
    <n v="115"/>
    <n v="135"/>
    <n v="55965"/>
    <n v="55436"/>
    <n v="103"/>
    <x v="2"/>
    <s v="SummerSplash"/>
  </r>
  <r>
    <s v="P135"/>
    <x v="3"/>
    <d v="2024-11-28T00:00:00"/>
    <x v="1"/>
    <s v="Check out our latest text on facebook!"/>
    <n v="4213"/>
    <n v="253"/>
    <n v="434"/>
    <n v="75834"/>
    <n v="75437"/>
    <n v="272"/>
    <x v="0"/>
    <s v="DailyWellness"/>
  </r>
  <r>
    <s v="P136"/>
    <x v="2"/>
    <d v="2024-07-11T00:00:00"/>
    <x v="1"/>
    <s v="Check out our latest text on instagram!"/>
    <n v="3134"/>
    <n v="888"/>
    <n v="444"/>
    <n v="21938"/>
    <n v="21337"/>
    <n v="130"/>
    <x v="4"/>
    <s v="DailyWellness"/>
  </r>
  <r>
    <s v="P137"/>
    <x v="3"/>
    <d v="2024-07-31T00:00:00"/>
    <x v="5"/>
    <s v="Check out our latest video on facebook!"/>
    <n v="3008"/>
    <n v="94"/>
    <n v="37"/>
    <n v="15040"/>
    <n v="14639"/>
    <n v="277"/>
    <x v="0"/>
    <m/>
  </r>
  <r>
    <s v="P138"/>
    <x v="0"/>
    <d v="2025-03-29T00:00:00"/>
    <x v="4"/>
    <s v="Check out our latest image on twitter!"/>
    <n v="305"/>
    <n v="187"/>
    <n v="243"/>
    <n v="4575"/>
    <n v="3704"/>
    <n v="234"/>
    <x v="0"/>
    <s v="NewYearRefresh"/>
  </r>
  <r>
    <s v="P139"/>
    <x v="1"/>
    <d v="2024-10-29T00:00:00"/>
    <x v="1"/>
    <s v="Check out our latest text on youtube!"/>
    <n v="2746"/>
    <n v="156"/>
    <n v="203"/>
    <n v="32952"/>
    <n v="32147"/>
    <n v="147"/>
    <x v="4"/>
    <s v="SummerSplash"/>
  </r>
  <r>
    <s v="P140"/>
    <x v="3"/>
    <d v="2024-07-15T00:00:00"/>
    <x v="4"/>
    <s v="Check out our latest image on facebook!"/>
    <n v="2291"/>
    <n v="78"/>
    <n v="485"/>
    <n v="18328"/>
    <n v="18101"/>
    <n v="10"/>
    <x v="4"/>
    <s v="FestiveRadiance"/>
  </r>
  <r>
    <s v="P140"/>
    <x v="3"/>
    <d v="2024-07-15T00:00:00"/>
    <x v="4"/>
    <s v="Check out our latest image on facebook!"/>
    <n v="2291"/>
    <n v="78"/>
    <n v="485"/>
    <n v="18328"/>
    <n v="18101"/>
    <n v="10"/>
    <x v="5"/>
    <s v="FestiveRadiance"/>
  </r>
  <r>
    <s v="P141"/>
    <x v="0"/>
    <d v="2024-08-31T00:00:00"/>
    <x v="4"/>
    <s v="Check out our latest image on twitter!"/>
    <n v="3170"/>
    <n v="857"/>
    <n v="379"/>
    <n v="19020"/>
    <n v="18559"/>
    <n v="240"/>
    <x v="0"/>
    <m/>
  </r>
  <r>
    <s v="P142"/>
    <x v="1"/>
    <d v="2025-03-25T00:00:00"/>
    <x v="2"/>
    <s v="Check out our latest story on youtube!"/>
    <n v="2070"/>
    <n v="275"/>
    <n v="386"/>
    <n v="39330"/>
    <n v="38627"/>
    <n v="114"/>
    <x v="0"/>
    <s v="DailyWellness"/>
  </r>
  <r>
    <s v="P143"/>
    <x v="1"/>
    <d v="2024-10-02T00:00:00"/>
    <x v="3"/>
    <s v="Check out our latest carousel on youtube!"/>
    <n v="80"/>
    <n v="362"/>
    <n v="80"/>
    <n v="1040"/>
    <n v="349"/>
    <n v="117"/>
    <x v="2"/>
    <s v="NewYearRefresh"/>
  </r>
  <r>
    <s v="P144"/>
    <x v="1"/>
    <d v="2024-10-28T00:00:00"/>
    <x v="2"/>
    <s v="Check out our latest story on youtube!"/>
    <n v="4929"/>
    <n v="749"/>
    <n v="452"/>
    <n v="93651"/>
    <n v="92810"/>
    <n v="66"/>
    <x v="4"/>
    <s v="DailyWellness"/>
  </r>
  <r>
    <s v="P145"/>
    <x v="2"/>
    <d v="2024-08-12T00:00:00"/>
    <x v="3"/>
    <s v="Check out our latest carousel on instagram!"/>
    <n v="1878"/>
    <n v="62"/>
    <n v="179"/>
    <n v="37560"/>
    <n v="36874"/>
    <n v="142"/>
    <x v="2"/>
    <s v="DailyWellness"/>
  </r>
  <r>
    <s v="P146"/>
    <x v="1"/>
    <d v="2024-06-05T00:00:00"/>
    <x v="0"/>
    <s v="Check out our latest reel on youtube!"/>
    <n v="3065"/>
    <n v="772"/>
    <n v="142"/>
    <n v="18390"/>
    <n v="17875"/>
    <n v="200"/>
    <x v="4"/>
    <m/>
  </r>
  <r>
    <s v="P146"/>
    <x v="1"/>
    <d v="2024-06-05T00:00:00"/>
    <x v="0"/>
    <s v="Check out our latest reel on youtube!"/>
    <n v="3065"/>
    <n v="772"/>
    <n v="142"/>
    <n v="18390"/>
    <n v="17875"/>
    <n v="200"/>
    <x v="1"/>
    <m/>
  </r>
  <r>
    <s v="P147"/>
    <x v="2"/>
    <d v="2024-10-21T00:00:00"/>
    <x v="0"/>
    <s v="Check out our latest reel on instagram!"/>
    <n v="3256"/>
    <n v="459"/>
    <n v="266"/>
    <n v="26048"/>
    <n v="25529"/>
    <n v="143"/>
    <x v="2"/>
    <s v="FestiveRadiance"/>
  </r>
  <r>
    <s v="P148"/>
    <x v="2"/>
    <d v="2025-04-15T00:00:00"/>
    <x v="5"/>
    <s v="Check out our latest video on instagram!"/>
    <n v="4133"/>
    <n v="466"/>
    <n v="327"/>
    <n v="24798"/>
    <n v="24620"/>
    <n v="176"/>
    <x v="4"/>
    <s v="DailyWellness"/>
  </r>
  <r>
    <s v="P149"/>
    <x v="0"/>
    <d v="2024-06-16T00:00:00"/>
    <x v="5"/>
    <s v="Check out our latest video on twitter!"/>
    <n v="1702"/>
    <n v="750"/>
    <n v="179"/>
    <n v="34040"/>
    <n v="33174"/>
    <n v="76"/>
    <x v="4"/>
    <s v="SummerSplash"/>
  </r>
  <r>
    <s v="P150"/>
    <x v="1"/>
    <d v="2024-08-22T00:00:00"/>
    <x v="3"/>
    <s v="Check out our latest carousel on youtube!"/>
    <n v="4295"/>
    <n v="853"/>
    <n v="325"/>
    <n v="85900"/>
    <n v="85788"/>
    <n v="290"/>
    <x v="2"/>
    <s v="DailyWellness"/>
  </r>
  <r>
    <s v="P151"/>
    <x v="2"/>
    <d v="2024-07-26T00:00:00"/>
    <x v="4"/>
    <s v="Check out our latest image on instagram!"/>
    <n v="3559"/>
    <n v="59"/>
    <n v="289"/>
    <n v="35590"/>
    <n v="35105"/>
    <n v="122"/>
    <x v="4"/>
    <s v="SummerSplash"/>
  </r>
  <r>
    <s v="P152"/>
    <x v="3"/>
    <d v="2025-04-22T00:00:00"/>
    <x v="4"/>
    <s v="Check out our latest image on facebook!"/>
    <n v="4804"/>
    <n v="550"/>
    <n v="270"/>
    <n v="28824"/>
    <n v="28370"/>
    <n v="47"/>
    <x v="4"/>
    <s v="DailyWellness"/>
  </r>
  <r>
    <s v="P153"/>
    <x v="0"/>
    <d v="2025-01-01T00:00:00"/>
    <x v="5"/>
    <s v="Check out our latest video on twitter!"/>
    <n v="754"/>
    <n v="197"/>
    <n v="257"/>
    <n v="6786"/>
    <n v="6221"/>
    <n v="212"/>
    <x v="2"/>
    <s v="NewYearRefresh"/>
  </r>
  <r>
    <s v="P154"/>
    <x v="2"/>
    <d v="2024-10-09T00:00:00"/>
    <x v="3"/>
    <s v="Check out our latest carousel on instagram!"/>
    <n v="985"/>
    <n v="932"/>
    <n v="287"/>
    <n v="6895"/>
    <n v="6757"/>
    <n v="64"/>
    <x v="0"/>
    <s v="DailyWellness"/>
  </r>
  <r>
    <s v="P155"/>
    <x v="1"/>
    <d v="2024-12-21T00:00:00"/>
    <x v="4"/>
    <s v="Check out our latest image on youtube!"/>
    <n v="2283"/>
    <n v="210"/>
    <n v="130"/>
    <n v="22830"/>
    <n v="22617"/>
    <n v="143"/>
    <x v="0"/>
    <s v="FestiveRadiance"/>
  </r>
  <r>
    <s v="P156"/>
    <x v="3"/>
    <d v="2024-10-22T00:00:00"/>
    <x v="3"/>
    <s v="Check out our latest carousel on facebook!"/>
    <n v="3352"/>
    <n v="941"/>
    <n v="482"/>
    <n v="43576"/>
    <n v="43338"/>
    <n v="240"/>
    <x v="0"/>
    <s v="FestiveRadiance"/>
  </r>
  <r>
    <s v="P157"/>
    <x v="1"/>
    <d v="2024-07-23T00:00:00"/>
    <x v="2"/>
    <s v="Check out our latest story on youtube!"/>
    <n v="4775"/>
    <n v="173"/>
    <n v="206"/>
    <n v="47750"/>
    <n v="47544"/>
    <n v="187"/>
    <x v="0"/>
    <s v="FestiveRadiance"/>
  </r>
  <r>
    <s v="P158"/>
    <x v="2"/>
    <d v="2024-08-11T00:00:00"/>
    <x v="2"/>
    <s v="Check out our latest story on instagram!"/>
    <n v="1762"/>
    <n v="405"/>
    <n v="423"/>
    <n v="22906"/>
    <n v="21925"/>
    <n v="25"/>
    <x v="2"/>
    <s v="SummerSplash"/>
  </r>
  <r>
    <s v="P159"/>
    <x v="3"/>
    <d v="2024-11-25T00:00:00"/>
    <x v="2"/>
    <s v="Check out our latest story on facebook!"/>
    <n v="2120"/>
    <n v="158"/>
    <n v="488"/>
    <n v="12720"/>
    <n v="12085"/>
    <n v="17"/>
    <x v="0"/>
    <s v="FestiveRadiance"/>
  </r>
  <r>
    <s v="P160"/>
    <x v="0"/>
    <d v="2024-08-24T00:00:00"/>
    <x v="5"/>
    <s v="Check out our latest video on twitter!"/>
    <n v="1082"/>
    <n v="209"/>
    <n v="484"/>
    <n v="19476"/>
    <n v="18654"/>
    <n v="20"/>
    <x v="2"/>
    <m/>
  </r>
  <r>
    <s v="P161"/>
    <x v="0"/>
    <d v="2025-02-19T00:00:00"/>
    <x v="1"/>
    <s v="Check out our latest text on twitter!"/>
    <n v="4671"/>
    <n v="876"/>
    <n v="366"/>
    <n v="51381"/>
    <n v="50565"/>
    <n v="245"/>
    <x v="2"/>
    <s v="DailyWellness"/>
  </r>
  <r>
    <s v="P162"/>
    <x v="3"/>
    <d v="2025-04-01T00:00:00"/>
    <x v="2"/>
    <s v="Check out our latest story on facebook!"/>
    <n v="3430"/>
    <n v="566"/>
    <n v="164"/>
    <n v="48020"/>
    <n v="47305"/>
    <n v="120"/>
    <x v="0"/>
    <m/>
  </r>
  <r>
    <s v="P163"/>
    <x v="2"/>
    <d v="2025-04-08T00:00:00"/>
    <x v="4"/>
    <s v="Check out our latest image on instagram!"/>
    <n v="4501"/>
    <n v="375"/>
    <n v="323"/>
    <n v="22505"/>
    <n v="21836"/>
    <n v="132"/>
    <x v="2"/>
    <s v="FestiveRadiance"/>
  </r>
  <r>
    <s v="P164"/>
    <x v="1"/>
    <d v="2025-02-27T00:00:00"/>
    <x v="1"/>
    <s v="Check out our latest text on youtube!"/>
    <n v="4934"/>
    <n v="971"/>
    <n v="156"/>
    <n v="39472"/>
    <n v="39025"/>
    <n v="169"/>
    <x v="2"/>
    <s v="DailyWellness"/>
  </r>
  <r>
    <s v="P164"/>
    <x v="1"/>
    <d v="2025-02-27T00:00:00"/>
    <x v="1"/>
    <s v="Check out our latest text on youtube!"/>
    <n v="4934"/>
    <n v="971"/>
    <n v="156"/>
    <n v="39472"/>
    <n v="39025"/>
    <n v="169"/>
    <x v="1"/>
    <s v="DailyWellness"/>
  </r>
  <r>
    <s v="P165"/>
    <x v="0"/>
    <d v="2024-12-11T00:00:00"/>
    <x v="1"/>
    <s v="Check out our latest text on twitter!"/>
    <n v="3239"/>
    <n v="43"/>
    <n v="211"/>
    <n v="22673"/>
    <n v="22171"/>
    <n v="230"/>
    <x v="2"/>
    <s v="FestiveRadiance"/>
  </r>
  <r>
    <s v="P166"/>
    <x v="0"/>
    <d v="2025-02-16T00:00:00"/>
    <x v="0"/>
    <s v="Check out our latest reel on twitter!"/>
    <n v="1076"/>
    <n v="313"/>
    <n v="306"/>
    <n v="11836"/>
    <n v="11596"/>
    <n v="104"/>
    <x v="0"/>
    <s v="SummerSplash"/>
  </r>
  <r>
    <s v="P167"/>
    <x v="2"/>
    <d v="2024-11-28T00:00:00"/>
    <x v="1"/>
    <s v="Check out our latest text on instagram!"/>
    <n v="4771"/>
    <n v="818"/>
    <n v="56"/>
    <n v="57252"/>
    <n v="56378"/>
    <n v="150"/>
    <x v="0"/>
    <m/>
  </r>
  <r>
    <s v="P168"/>
    <x v="3"/>
    <d v="2024-11-12T00:00:00"/>
    <x v="1"/>
    <s v="Check out our latest text on facebook!"/>
    <n v="2418"/>
    <n v="754"/>
    <n v="54"/>
    <n v="43524"/>
    <n v="42743"/>
    <n v="182"/>
    <x v="4"/>
    <s v="SummerSplash"/>
  </r>
  <r>
    <s v="P169"/>
    <x v="1"/>
    <d v="2024-12-03T00:00:00"/>
    <x v="5"/>
    <s v="Check out our latest video on youtube!"/>
    <n v="3809"/>
    <n v="273"/>
    <n v="200"/>
    <n v="34281"/>
    <n v="33534"/>
    <n v="83"/>
    <x v="4"/>
    <s v="SummerSplash"/>
  </r>
  <r>
    <s v="P170"/>
    <x v="0"/>
    <d v="2025-04-28T00:00:00"/>
    <x v="1"/>
    <s v="Check out our latest text on twitter!"/>
    <n v="3577"/>
    <n v="596"/>
    <n v="493"/>
    <n v="67963"/>
    <n v="67839"/>
    <n v="53"/>
    <x v="2"/>
    <s v="NewYearRefresh"/>
  </r>
  <r>
    <s v="P171"/>
    <x v="1"/>
    <d v="2024-12-31T00:00:00"/>
    <x v="5"/>
    <s v="Check out our latest video on youtube!"/>
    <n v="1018"/>
    <n v="447"/>
    <n v="332"/>
    <n v="18324"/>
    <n v="18164"/>
    <n v="38"/>
    <x v="0"/>
    <s v="FestiveRadiance"/>
  </r>
  <r>
    <s v="P172"/>
    <x v="3"/>
    <d v="2024-08-14T00:00:00"/>
    <x v="3"/>
    <s v="Check out our latest carousel on facebook!"/>
    <n v="3073"/>
    <n v="553"/>
    <n v="174"/>
    <n v="52241"/>
    <n v="51605"/>
    <n v="246"/>
    <x v="4"/>
    <s v="NewYearRefresh"/>
  </r>
  <r>
    <s v="P173"/>
    <x v="0"/>
    <d v="2024-12-05T00:00:00"/>
    <x v="5"/>
    <s v="Check out our latest video on twitter!"/>
    <n v="1330"/>
    <n v="925"/>
    <n v="35"/>
    <n v="15960"/>
    <n v="15379"/>
    <n v="229"/>
    <x v="0"/>
    <s v="NewYearRefresh"/>
  </r>
  <r>
    <s v="P174"/>
    <x v="3"/>
    <d v="2024-06-22T00:00:00"/>
    <x v="1"/>
    <s v="Check out our latest text on facebook!"/>
    <n v="3828"/>
    <n v="148"/>
    <n v="253"/>
    <n v="30624"/>
    <n v="30229"/>
    <n v="235"/>
    <x v="4"/>
    <m/>
  </r>
  <r>
    <s v="P175"/>
    <x v="2"/>
    <d v="2025-01-17T00:00:00"/>
    <x v="0"/>
    <s v="Check out our latest reel on instagram!"/>
    <n v="142"/>
    <n v="784"/>
    <n v="183"/>
    <n v="1704"/>
    <n v="995"/>
    <n v="154"/>
    <x v="0"/>
    <s v="DailyWellness"/>
  </r>
  <r>
    <s v="P176"/>
    <x v="3"/>
    <d v="2024-06-20T00:00:00"/>
    <x v="5"/>
    <s v="Check out our latest video on facebook!"/>
    <n v="3798"/>
    <n v="31"/>
    <n v="279"/>
    <n v="75960"/>
    <n v="75813"/>
    <n v="266"/>
    <x v="2"/>
    <s v="SummerSplash"/>
  </r>
  <r>
    <s v="P177"/>
    <x v="2"/>
    <d v="2024-07-10T00:00:00"/>
    <x v="3"/>
    <s v="Check out our latest carousel on instagram!"/>
    <n v="3099"/>
    <n v="694"/>
    <n v="171"/>
    <n v="43386"/>
    <n v="42921"/>
    <n v="52"/>
    <x v="2"/>
    <s v="NewYearRefresh"/>
  </r>
  <r>
    <s v="P178"/>
    <x v="2"/>
    <d v="2024-11-07T00:00:00"/>
    <x v="5"/>
    <s v="Check out our latest video on instagram!"/>
    <n v="129"/>
    <n v="643"/>
    <n v="136"/>
    <n v="1290"/>
    <n v="839"/>
    <n v="238"/>
    <x v="2"/>
    <s v="DailyWellness"/>
  </r>
  <r>
    <s v="P179"/>
    <x v="3"/>
    <d v="2024-07-15T00:00:00"/>
    <x v="3"/>
    <s v="Check out our latest carousel on facebook!"/>
    <n v="3796"/>
    <n v="667"/>
    <n v="395"/>
    <n v="64532"/>
    <n v="63550"/>
    <n v="292"/>
    <x v="2"/>
    <m/>
  </r>
  <r>
    <s v="P180"/>
    <x v="1"/>
    <d v="2024-12-03T00:00:00"/>
    <x v="1"/>
    <s v="Check out our latest text on youtube!"/>
    <n v="3711"/>
    <n v="352"/>
    <n v="290"/>
    <n v="48243"/>
    <n v="47579"/>
    <n v="11"/>
    <x v="2"/>
    <s v="SummerSplash"/>
  </r>
  <r>
    <s v="P181"/>
    <x v="1"/>
    <d v="2025-03-21T00:00:00"/>
    <x v="4"/>
    <s v="Check out our latest image on youtube!"/>
    <n v="606"/>
    <n v="789"/>
    <n v="470"/>
    <n v="7878"/>
    <n v="7389"/>
    <n v="239"/>
    <x v="4"/>
    <s v="NewYearRefresh"/>
  </r>
  <r>
    <s v="P182"/>
    <x v="3"/>
    <d v="2024-07-31T00:00:00"/>
    <x v="4"/>
    <s v="Check out our latest image on facebook!"/>
    <n v="4689"/>
    <n v="134"/>
    <n v="403"/>
    <n v="51579"/>
    <n v="50924"/>
    <n v="173"/>
    <x v="2"/>
    <s v="DailyWellness"/>
  </r>
  <r>
    <s v="P183"/>
    <x v="2"/>
    <d v="2024-12-17T00:00:00"/>
    <x v="2"/>
    <s v="Check out our latest story on instagram!"/>
    <n v="360"/>
    <n v="590"/>
    <n v="393"/>
    <n v="4680"/>
    <n v="4322"/>
    <n v="208"/>
    <x v="0"/>
    <s v="FestiveRadiance"/>
  </r>
  <r>
    <s v="P184"/>
    <x v="0"/>
    <d v="2024-07-28T00:00:00"/>
    <x v="4"/>
    <s v="Check out our latest image on twitter!"/>
    <n v="3215"/>
    <n v="960"/>
    <n v="202"/>
    <n v="32150"/>
    <n v="31404"/>
    <n v="251"/>
    <x v="4"/>
    <s v="SummerSplash"/>
  </r>
  <r>
    <s v="P185"/>
    <x v="2"/>
    <d v="2025-01-11T00:00:00"/>
    <x v="3"/>
    <s v="Check out our latest carousel on instagram!"/>
    <n v="4523"/>
    <n v="61"/>
    <n v="157"/>
    <n v="49753"/>
    <n v="49329"/>
    <n v="71"/>
    <x v="4"/>
    <m/>
  </r>
  <r>
    <s v="P186"/>
    <x v="3"/>
    <d v="2024-08-24T00:00:00"/>
    <x v="3"/>
    <s v="Check out our latest carousel on facebook!"/>
    <n v="4292"/>
    <n v="51"/>
    <n v="392"/>
    <n v="55796"/>
    <n v="54826"/>
    <n v="264"/>
    <x v="4"/>
    <s v="NewYearRefresh"/>
  </r>
  <r>
    <s v="P187"/>
    <x v="0"/>
    <d v="2024-12-22T00:00:00"/>
    <x v="0"/>
    <s v="Check out our latest reel on twitter!"/>
    <n v="1644"/>
    <n v="546"/>
    <n v="150"/>
    <n v="27948"/>
    <n v="27184"/>
    <n v="300"/>
    <x v="4"/>
    <s v="NewYearRefresh"/>
  </r>
  <r>
    <s v="P188"/>
    <x v="1"/>
    <d v="2024-06-06T00:00:00"/>
    <x v="0"/>
    <s v="Check out our latest reel on youtube!"/>
    <n v="2728"/>
    <n v="533"/>
    <n v="215"/>
    <n v="40920"/>
    <n v="40816"/>
    <n v="137"/>
    <x v="0"/>
    <s v="FestiveRadiance"/>
  </r>
  <r>
    <s v="P189"/>
    <x v="3"/>
    <d v="2025-03-24T00:00:00"/>
    <x v="0"/>
    <s v="Check out our latest reel on facebook!"/>
    <n v="3360"/>
    <n v="525"/>
    <n v="500"/>
    <n v="60480"/>
    <n v="59610"/>
    <n v="192"/>
    <x v="2"/>
    <s v="SummerSplash"/>
  </r>
  <r>
    <s v="P190"/>
    <x v="1"/>
    <d v="2024-10-04T00:00:00"/>
    <x v="1"/>
    <s v="Check out our latest text on youtube!"/>
    <n v="1963"/>
    <n v="213"/>
    <n v="19"/>
    <n v="39260"/>
    <n v="38771"/>
    <n v="145"/>
    <x v="0"/>
    <m/>
  </r>
  <r>
    <s v="P191"/>
    <x v="1"/>
    <d v="2024-12-03T00:00:00"/>
    <x v="2"/>
    <s v="Check out our latest story on youtube!"/>
    <n v="4285"/>
    <n v="886"/>
    <n v="376"/>
    <n v="55705"/>
    <n v="55556"/>
    <n v="51"/>
    <x v="0"/>
    <s v="NewYearRefresh"/>
  </r>
  <r>
    <s v="P192"/>
    <x v="2"/>
    <d v="2024-11-29T00:00:00"/>
    <x v="5"/>
    <s v="Check out our latest video on instagram!"/>
    <n v="1176"/>
    <n v="464"/>
    <n v="394"/>
    <n v="14112"/>
    <n v="13588"/>
    <n v="272"/>
    <x v="4"/>
    <m/>
  </r>
  <r>
    <s v="P193"/>
    <x v="0"/>
    <d v="2024-09-11T00:00:00"/>
    <x v="4"/>
    <s v="Check out our latest image on twitter!"/>
    <n v="4858"/>
    <n v="317"/>
    <n v="129"/>
    <n v="53438"/>
    <n v="52687"/>
    <n v="223"/>
    <x v="4"/>
    <s v="NewYearRefresh"/>
  </r>
  <r>
    <s v="P194"/>
    <x v="1"/>
    <d v="2024-10-02T00:00:00"/>
    <x v="2"/>
    <s v="Check out our latest story on youtube!"/>
    <n v="4350"/>
    <n v="771"/>
    <n v="7"/>
    <n v="60900"/>
    <n v="60592"/>
    <n v="195"/>
    <x v="4"/>
    <s v="SummerSplash"/>
  </r>
  <r>
    <s v="P195"/>
    <x v="2"/>
    <d v="2024-08-15T00:00:00"/>
    <x v="3"/>
    <s v="Check out our latest carousel on instagram!"/>
    <n v="914"/>
    <n v="464"/>
    <n v="246"/>
    <n v="11882"/>
    <n v="11500"/>
    <n v="282"/>
    <x v="0"/>
    <s v="DailyWellness"/>
  </r>
  <r>
    <s v="P195"/>
    <x v="2"/>
    <d v="2024-08-15T00:00:00"/>
    <x v="3"/>
    <s v="Check out our latest carousel on instagram!"/>
    <n v="914"/>
    <n v="464"/>
    <n v="246"/>
    <n v="11882"/>
    <n v="11500"/>
    <n v="282"/>
    <x v="2"/>
    <s v="DailyWellness"/>
  </r>
  <r>
    <s v="P195"/>
    <x v="2"/>
    <d v="2024-08-15T00:00:00"/>
    <x v="3"/>
    <s v="Check out our latest carousel on instagram!"/>
    <n v="914"/>
    <n v="464"/>
    <n v="246"/>
    <n v="11882"/>
    <n v="11500"/>
    <n v="282"/>
    <x v="1"/>
    <s v="DailyWellness"/>
  </r>
  <r>
    <s v="P196"/>
    <x v="2"/>
    <d v="2024-12-19T00:00:00"/>
    <x v="1"/>
    <s v="Check out our latest text on instagram!"/>
    <n v="1813"/>
    <n v="623"/>
    <n v="72"/>
    <n v="19943"/>
    <n v="18959"/>
    <n v="85"/>
    <x v="4"/>
    <s v="NewYearRefresh"/>
  </r>
  <r>
    <s v="P197"/>
    <x v="0"/>
    <d v="2024-10-22T00:00:00"/>
    <x v="0"/>
    <s v="Check out our latest reel on twitter!"/>
    <n v="4782"/>
    <n v="721"/>
    <n v="82"/>
    <n v="86076"/>
    <n v="85339"/>
    <n v="19"/>
    <x v="4"/>
    <s v="SummerSplash"/>
  </r>
  <r>
    <s v="P198"/>
    <x v="0"/>
    <d v="2024-09-14T00:00:00"/>
    <x v="4"/>
    <s v="Check out our latest image on twitter!"/>
    <n v="1048"/>
    <n v="374"/>
    <n v="450"/>
    <n v="9432"/>
    <n v="8882"/>
    <n v="158"/>
    <x v="2"/>
    <s v="NewYearRefresh"/>
  </r>
  <r>
    <s v="P199"/>
    <x v="1"/>
    <d v="2024-11-30T00:00:00"/>
    <x v="3"/>
    <s v="Check out our latest carousel on youtube!"/>
    <n v="2509"/>
    <n v="324"/>
    <n v="171"/>
    <n v="35126"/>
    <n v="34685"/>
    <n v="277"/>
    <x v="2"/>
    <s v="FestiveRadiance"/>
  </r>
  <r>
    <s v="P200"/>
    <x v="3"/>
    <d v="2025-04-07T00:00:00"/>
    <x v="0"/>
    <s v="Check out our latest reel on facebook!"/>
    <n v="3718"/>
    <n v="385"/>
    <n v="310"/>
    <n v="70642"/>
    <n v="69749"/>
    <n v="233"/>
    <x v="2"/>
    <s v="FestiveRadiance"/>
  </r>
  <r>
    <s v="P201"/>
    <x v="0"/>
    <d v="2025-01-15T00:00:00"/>
    <x v="0"/>
    <s v="Check out our latest reel on twitter!"/>
    <n v="802"/>
    <n v="262"/>
    <n v="244"/>
    <n v="14436"/>
    <n v="14280"/>
    <n v="49"/>
    <x v="4"/>
    <s v="SummerSplash"/>
  </r>
  <r>
    <s v="P202"/>
    <x v="3"/>
    <d v="2024-06-02T00:00:00"/>
    <x v="4"/>
    <s v="Check out our latest image on facebook!"/>
    <n v="1871"/>
    <n v="252"/>
    <n v="335"/>
    <n v="29936"/>
    <n v="29576"/>
    <n v="288"/>
    <x v="4"/>
    <s v="NewYearRefresh"/>
  </r>
  <r>
    <s v="P203"/>
    <x v="2"/>
    <d v="2024-11-21T00:00:00"/>
    <x v="3"/>
    <s v="Check out our latest carousel on instagram!"/>
    <n v="3773"/>
    <n v="299"/>
    <n v="38"/>
    <n v="71687"/>
    <n v="71447"/>
    <n v="286"/>
    <x v="0"/>
    <s v="SummerSplash"/>
  </r>
  <r>
    <s v="P204"/>
    <x v="2"/>
    <d v="2025-01-01T00:00:00"/>
    <x v="3"/>
    <s v="Check out our latest carousel on instagram!"/>
    <n v="2234"/>
    <n v="653"/>
    <n v="432"/>
    <n v="11170"/>
    <n v="10569"/>
    <n v="198"/>
    <x v="0"/>
    <s v="NewYearRefresh"/>
  </r>
  <r>
    <s v="P205"/>
    <x v="0"/>
    <d v="2025-04-24T00:00:00"/>
    <x v="5"/>
    <s v="Check out our latest video on twitter!"/>
    <n v="3820"/>
    <n v="697"/>
    <n v="268"/>
    <n v="45840"/>
    <n v="45631"/>
    <n v="171"/>
    <x v="2"/>
    <s v="DailyWellness"/>
  </r>
  <r>
    <s v="P205"/>
    <x v="0"/>
    <d v="2025-04-24T00:00:00"/>
    <x v="5"/>
    <s v="Check out our latest video on twitter!"/>
    <n v="3820"/>
    <n v="697"/>
    <n v="268"/>
    <n v="45840"/>
    <n v="45631"/>
    <n v="171"/>
    <x v="5"/>
    <s v="DailyWellness"/>
  </r>
  <r>
    <s v="P206"/>
    <x v="0"/>
    <d v="2024-06-24T00:00:00"/>
    <x v="1"/>
    <s v="Check out our latest text on twitter!"/>
    <n v="941"/>
    <n v="121"/>
    <n v="458"/>
    <n v="14115"/>
    <n v="13838"/>
    <n v="87"/>
    <x v="4"/>
    <s v="SummerSplash"/>
  </r>
  <r>
    <s v="P207"/>
    <x v="0"/>
    <d v="2024-12-29T00:00:00"/>
    <x v="3"/>
    <s v="Check out our latest carousel on twitter!"/>
    <n v="4274"/>
    <n v="340"/>
    <n v="281"/>
    <n v="34192"/>
    <n v="33446"/>
    <n v="129"/>
    <x v="2"/>
    <s v="NewYearRefresh"/>
  </r>
  <r>
    <s v="P207"/>
    <x v="0"/>
    <d v="2024-12-29T00:00:00"/>
    <x v="3"/>
    <s v="Check out our latest carousel on twitter!"/>
    <n v="4274"/>
    <n v="340"/>
    <n v="281"/>
    <n v="34192"/>
    <n v="33446"/>
    <n v="129"/>
    <x v="5"/>
    <s v="NewYearRefresh"/>
  </r>
  <r>
    <s v="P208"/>
    <x v="1"/>
    <d v="2024-06-24T00:00:00"/>
    <x v="5"/>
    <s v="Check out our latest video on youtube!"/>
    <n v="2949"/>
    <n v="476"/>
    <n v="403"/>
    <n v="44235"/>
    <n v="43705"/>
    <n v="135"/>
    <x v="2"/>
    <s v="FestiveRadiance"/>
  </r>
  <r>
    <s v="P209"/>
    <x v="0"/>
    <d v="2025-03-19T00:00:00"/>
    <x v="5"/>
    <s v="Check out our latest video on twitter!"/>
    <n v="3160"/>
    <n v="204"/>
    <n v="297"/>
    <n v="44240"/>
    <n v="43666"/>
    <n v="49"/>
    <x v="0"/>
    <s v="DailyWellness"/>
  </r>
  <r>
    <s v="P209"/>
    <x v="0"/>
    <d v="2025-03-19T00:00:00"/>
    <x v="5"/>
    <s v="Check out our latest video on twitter!"/>
    <n v="3160"/>
    <n v="204"/>
    <n v="297"/>
    <n v="44240"/>
    <n v="43666"/>
    <n v="49"/>
    <x v="1"/>
    <s v="DailyWellness"/>
  </r>
  <r>
    <s v="P210"/>
    <x v="1"/>
    <d v="2025-02-19T00:00:00"/>
    <x v="4"/>
    <s v="Check out our latest image on youtube!"/>
    <n v="257"/>
    <n v="966"/>
    <n v="398"/>
    <n v="3341"/>
    <n v="2753"/>
    <n v="287"/>
    <x v="0"/>
    <s v="SummerSplash"/>
  </r>
  <r>
    <s v="P211"/>
    <x v="0"/>
    <d v="2024-07-18T00:00:00"/>
    <x v="3"/>
    <s v="Check out our latest carousel on twitter!"/>
    <n v="2120"/>
    <n v="38"/>
    <n v="212"/>
    <n v="12720"/>
    <n v="12564"/>
    <n v="21"/>
    <x v="0"/>
    <s v="DailyWellness"/>
  </r>
  <r>
    <s v="P212"/>
    <x v="1"/>
    <d v="2025-03-03T00:00:00"/>
    <x v="5"/>
    <s v="Check out our latest video on youtube!"/>
    <n v="3874"/>
    <n v="884"/>
    <n v="19"/>
    <n v="38740"/>
    <n v="38552"/>
    <n v="219"/>
    <x v="2"/>
    <s v="FestiveRadiance"/>
  </r>
  <r>
    <s v="P213"/>
    <x v="3"/>
    <d v="2025-05-01T00:00:00"/>
    <x v="3"/>
    <s v="Check out our latest carousel on facebook!"/>
    <n v="2696"/>
    <n v="628"/>
    <n v="443"/>
    <n v="45832"/>
    <n v="45632"/>
    <n v="248"/>
    <x v="4"/>
    <s v="DailyWellness"/>
  </r>
  <r>
    <s v="P214"/>
    <x v="2"/>
    <d v="2024-12-23T00:00:00"/>
    <x v="4"/>
    <s v="Check out our latest image on instagram!"/>
    <n v="521"/>
    <n v="746"/>
    <n v="315"/>
    <n v="4168"/>
    <n v="3399"/>
    <n v="282"/>
    <x v="0"/>
    <s v="FestiveRadiance"/>
  </r>
  <r>
    <s v="P215"/>
    <x v="3"/>
    <d v="2025-05-06T00:00:00"/>
    <x v="4"/>
    <s v="Check out our latest image on facebook!"/>
    <n v="4872"/>
    <n v="925"/>
    <n v="176"/>
    <n v="82824"/>
    <n v="82543"/>
    <n v="89"/>
    <x v="4"/>
    <s v="FestiveRadiance"/>
  </r>
  <r>
    <s v="P216"/>
    <x v="1"/>
    <d v="2024-07-29T00:00:00"/>
    <x v="2"/>
    <s v="Check out our latest story on youtube!"/>
    <n v="1509"/>
    <n v="88"/>
    <n v="163"/>
    <n v="30180"/>
    <n v="29689"/>
    <n v="119"/>
    <x v="4"/>
    <s v="FestiveRadiance"/>
  </r>
  <r>
    <s v="P217"/>
    <x v="3"/>
    <d v="2024-12-03T00:00:00"/>
    <x v="4"/>
    <s v="Check out our latest image on facebook!"/>
    <n v="4606"/>
    <n v="931"/>
    <n v="230"/>
    <n v="92120"/>
    <n v="91440"/>
    <n v="56"/>
    <x v="2"/>
    <m/>
  </r>
  <r>
    <s v="P218"/>
    <x v="3"/>
    <d v="2024-06-11T00:00:00"/>
    <x v="3"/>
    <s v="Check out our latest carousel on facebook!"/>
    <n v="1869"/>
    <n v="453"/>
    <n v="490"/>
    <n v="14952"/>
    <n v="14309"/>
    <n v="275"/>
    <x v="2"/>
    <s v="DailyWellness"/>
  </r>
  <r>
    <s v="P219"/>
    <x v="0"/>
    <d v="2025-01-28T00:00:00"/>
    <x v="0"/>
    <s v="Check out our latest reel on twitter!"/>
    <n v="1188"/>
    <n v="470"/>
    <n v="174"/>
    <n v="7128"/>
    <n v="6145"/>
    <n v="270"/>
    <x v="2"/>
    <s v="DailyWellness"/>
  </r>
  <r>
    <s v="P220"/>
    <x v="2"/>
    <d v="2024-06-02T00:00:00"/>
    <x v="2"/>
    <s v="Check out our latest story on instagram!"/>
    <n v="84"/>
    <n v="897"/>
    <n v="85"/>
    <n v="588"/>
    <n v="8"/>
    <n v="12"/>
    <x v="4"/>
    <m/>
  </r>
  <r>
    <s v="P221"/>
    <x v="3"/>
    <d v="2025-03-23T00:00:00"/>
    <x v="5"/>
    <s v="Check out our latest video on facebook!"/>
    <n v="4453"/>
    <n v="111"/>
    <n v="420"/>
    <n v="31171"/>
    <n v="30565"/>
    <n v="23"/>
    <x v="2"/>
    <m/>
  </r>
  <r>
    <s v="P222"/>
    <x v="3"/>
    <d v="2024-10-08T00:00:00"/>
    <x v="0"/>
    <s v="Check out our latest reel on facebook!"/>
    <n v="1814"/>
    <n v="653"/>
    <n v="363"/>
    <n v="25396"/>
    <n v="25286"/>
    <n v="39"/>
    <x v="0"/>
    <s v="SummerSplash"/>
  </r>
  <r>
    <s v="P222"/>
    <x v="3"/>
    <d v="2024-10-08T00:00:00"/>
    <x v="0"/>
    <s v="Check out our latest reel on facebook!"/>
    <n v="1814"/>
    <n v="653"/>
    <n v="363"/>
    <n v="25396"/>
    <n v="25286"/>
    <n v="39"/>
    <x v="5"/>
    <s v="SummerSplash"/>
  </r>
  <r>
    <s v="P223"/>
    <x v="0"/>
    <d v="2024-11-12T00:00:00"/>
    <x v="4"/>
    <s v="Check out our latest image on twitter!"/>
    <n v="3338"/>
    <n v="277"/>
    <n v="118"/>
    <n v="60084"/>
    <n v="59842"/>
    <n v="252"/>
    <x v="2"/>
    <m/>
  </r>
  <r>
    <s v="P224"/>
    <x v="3"/>
    <d v="2025-05-13T00:00:00"/>
    <x v="4"/>
    <s v="Check out our latest image on facebook!"/>
    <n v="602"/>
    <n v="594"/>
    <n v="156"/>
    <n v="4214"/>
    <n v="3363"/>
    <n v="164"/>
    <x v="2"/>
    <s v="NewYearRefresh"/>
  </r>
  <r>
    <s v="P225"/>
    <x v="0"/>
    <d v="2024-06-20T00:00:00"/>
    <x v="3"/>
    <s v="Check out our latest carousel on twitter!"/>
    <n v="4672"/>
    <n v="325"/>
    <n v="32"/>
    <n v="88768"/>
    <n v="87833"/>
    <n v="118"/>
    <x v="4"/>
    <m/>
  </r>
  <r>
    <s v="P226"/>
    <x v="2"/>
    <d v="2024-08-07T00:00:00"/>
    <x v="3"/>
    <s v="Check out our latest carousel on instagram!"/>
    <n v="1741"/>
    <n v="164"/>
    <n v="318"/>
    <n v="8705"/>
    <n v="8272"/>
    <n v="121"/>
    <x v="2"/>
    <m/>
  </r>
  <r>
    <s v="P227"/>
    <x v="2"/>
    <d v="2024-06-12T00:00:00"/>
    <x v="1"/>
    <s v="Check out our latest text on instagram!"/>
    <n v="246"/>
    <n v="149"/>
    <n v="130"/>
    <n v="4674"/>
    <n v="4390"/>
    <n v="217"/>
    <x v="0"/>
    <s v="NewYearRefresh"/>
  </r>
  <r>
    <s v="P228"/>
    <x v="2"/>
    <d v="2024-07-01T00:00:00"/>
    <x v="2"/>
    <s v="Check out our latest story on instagram!"/>
    <n v="4808"/>
    <n v="772"/>
    <n v="320"/>
    <n v="72120"/>
    <n v="71696"/>
    <n v="195"/>
    <x v="4"/>
    <s v="SummerSplash"/>
  </r>
  <r>
    <s v="P229"/>
    <x v="2"/>
    <d v="2024-07-03T00:00:00"/>
    <x v="3"/>
    <s v="Check out our latest carousel on instagram!"/>
    <n v="4799"/>
    <n v="694"/>
    <n v="289"/>
    <n v="43191"/>
    <n v="42228"/>
    <n v="118"/>
    <x v="2"/>
    <m/>
  </r>
  <r>
    <s v="P230"/>
    <x v="3"/>
    <d v="2024-07-15T00:00:00"/>
    <x v="0"/>
    <s v="Check out our latest reel on facebook!"/>
    <n v="3663"/>
    <n v="17"/>
    <n v="295"/>
    <n v="51282"/>
    <n v="50567"/>
    <n v="84"/>
    <x v="4"/>
    <s v="NewYearRefresh"/>
  </r>
  <r>
    <s v="P231"/>
    <x v="2"/>
    <d v="2025-05-01T00:00:00"/>
    <x v="1"/>
    <s v="Check out our latest text on instagram!"/>
    <n v="1430"/>
    <n v="376"/>
    <n v="33"/>
    <n v="21450"/>
    <n v="20509"/>
    <n v="251"/>
    <x v="0"/>
    <s v="SummerSplash"/>
  </r>
  <r>
    <s v="P232"/>
    <x v="0"/>
    <d v="2025-04-29T00:00:00"/>
    <x v="2"/>
    <s v="Check out our latest story on twitter!"/>
    <n v="249"/>
    <n v="592"/>
    <n v="230"/>
    <n v="1494"/>
    <n v="1044"/>
    <n v="201"/>
    <x v="4"/>
    <s v="DailyWellness"/>
  </r>
  <r>
    <s v="P233"/>
    <x v="3"/>
    <d v="2025-03-08T00:00:00"/>
    <x v="4"/>
    <s v="Check out our latest image on facebook!"/>
    <n v="2382"/>
    <n v="265"/>
    <n v="134"/>
    <n v="38112"/>
    <n v="37437"/>
    <n v="249"/>
    <x v="0"/>
    <s v="DailyWellness"/>
  </r>
  <r>
    <s v="P234"/>
    <x v="3"/>
    <d v="2024-06-01T00:00:00"/>
    <x v="1"/>
    <s v="Check out our latest text on facebook!"/>
    <n v="1272"/>
    <n v="465"/>
    <n v="99"/>
    <n v="24168"/>
    <n v="23719"/>
    <n v="42"/>
    <x v="2"/>
    <m/>
  </r>
  <r>
    <s v="P235"/>
    <x v="3"/>
    <d v="2024-12-22T00:00:00"/>
    <x v="4"/>
    <s v="Check out our latest image on facebook!"/>
    <n v="3196"/>
    <n v="941"/>
    <n v="376"/>
    <n v="35156"/>
    <n v="34444"/>
    <n v="241"/>
    <x v="2"/>
    <s v="NewYearRefresh"/>
  </r>
  <r>
    <s v="P236"/>
    <x v="3"/>
    <d v="2024-08-19T00:00:00"/>
    <x v="1"/>
    <s v="Check out our latest text on facebook!"/>
    <n v="1257"/>
    <n v="19"/>
    <n v="351"/>
    <n v="12570"/>
    <n v="11660"/>
    <n v="194"/>
    <x v="0"/>
    <s v="FestiveRadiance"/>
  </r>
  <r>
    <s v="P236"/>
    <x v="3"/>
    <d v="2024-08-19T00:00:00"/>
    <x v="1"/>
    <s v="Check out our latest text on facebook!"/>
    <n v="1257"/>
    <n v="19"/>
    <n v="351"/>
    <n v="12570"/>
    <n v="11660"/>
    <n v="194"/>
    <x v="1"/>
    <s v="FestiveRadiance"/>
  </r>
  <r>
    <s v="P236"/>
    <x v="3"/>
    <d v="2024-08-19T00:00:00"/>
    <x v="1"/>
    <s v="Check out our latest text on facebook!"/>
    <n v="1257"/>
    <n v="19"/>
    <n v="351"/>
    <n v="12570"/>
    <n v="11660"/>
    <n v="194"/>
    <x v="4"/>
    <s v="FestiveRadiance"/>
  </r>
  <r>
    <s v="P237"/>
    <x v="2"/>
    <d v="2024-10-22T00:00:00"/>
    <x v="2"/>
    <s v="Check out our latest story on instagram!"/>
    <n v="3770"/>
    <n v="917"/>
    <n v="129"/>
    <n v="71630"/>
    <n v="71322"/>
    <n v="76"/>
    <x v="0"/>
    <s v="SummerSplash"/>
  </r>
  <r>
    <s v="P238"/>
    <x v="0"/>
    <d v="2024-07-16T00:00:00"/>
    <x v="1"/>
    <s v="Check out our latest text on twitter!"/>
    <n v="4725"/>
    <n v="400"/>
    <n v="362"/>
    <n v="75600"/>
    <n v="74927"/>
    <n v="43"/>
    <x v="0"/>
    <s v="DailyWellness"/>
  </r>
  <r>
    <s v="P239"/>
    <x v="1"/>
    <d v="2025-02-24T00:00:00"/>
    <x v="1"/>
    <s v="Check out our latest text on youtube!"/>
    <n v="4188"/>
    <n v="942"/>
    <n v="118"/>
    <n v="20940"/>
    <n v="20471"/>
    <n v="102"/>
    <x v="0"/>
    <m/>
  </r>
  <r>
    <s v="P240"/>
    <x v="0"/>
    <d v="2024-08-26T00:00:00"/>
    <x v="3"/>
    <s v="Check out our latest carousel on twitter!"/>
    <n v="929"/>
    <n v="192"/>
    <n v="322"/>
    <n v="16722"/>
    <n v="15996"/>
    <n v="145"/>
    <x v="4"/>
    <s v="NewYearRefresh"/>
  </r>
  <r>
    <s v="P240"/>
    <x v="0"/>
    <d v="2024-08-26T00:00:00"/>
    <x v="3"/>
    <s v="Check out our latest carousel on twitter!"/>
    <n v="929"/>
    <n v="192"/>
    <n v="322"/>
    <n v="16722"/>
    <n v="15996"/>
    <n v="145"/>
    <x v="2"/>
    <s v="NewYearRefresh"/>
  </r>
  <r>
    <s v="P240"/>
    <x v="0"/>
    <d v="2024-08-26T00:00:00"/>
    <x v="3"/>
    <s v="Check out our latest carousel on twitter!"/>
    <n v="929"/>
    <n v="192"/>
    <n v="322"/>
    <n v="16722"/>
    <n v="15996"/>
    <n v="145"/>
    <x v="1"/>
    <s v="NewYearRefresh"/>
  </r>
  <r>
    <s v="P241"/>
    <x v="3"/>
    <d v="2025-01-18T00:00:00"/>
    <x v="2"/>
    <s v="Check out our latest story on facebook!"/>
    <n v="4321"/>
    <n v="874"/>
    <n v="172"/>
    <n v="30247"/>
    <n v="29254"/>
    <n v="122"/>
    <x v="2"/>
    <s v="DailyWellness"/>
  </r>
  <r>
    <s v="P242"/>
    <x v="3"/>
    <d v="2024-07-07T00:00:00"/>
    <x v="0"/>
    <s v="Check out our latest reel on facebook!"/>
    <n v="4767"/>
    <n v="190"/>
    <n v="340"/>
    <n v="28602"/>
    <n v="28044"/>
    <n v="210"/>
    <x v="4"/>
    <s v="NewYearRefresh"/>
  </r>
  <r>
    <s v="P243"/>
    <x v="0"/>
    <d v="2025-03-06T00:00:00"/>
    <x v="4"/>
    <s v="Check out our latest image on twitter!"/>
    <n v="3592"/>
    <n v="911"/>
    <n v="375"/>
    <n v="50288"/>
    <n v="49490"/>
    <n v="32"/>
    <x v="0"/>
    <s v="DailyWellness"/>
  </r>
  <r>
    <s v="P244"/>
    <x v="1"/>
    <d v="2024-10-25T00:00:00"/>
    <x v="5"/>
    <s v="Check out our latest video on youtube!"/>
    <n v="4661"/>
    <n v="935"/>
    <n v="433"/>
    <n v="23305"/>
    <n v="22583"/>
    <n v="63"/>
    <x v="0"/>
    <s v="NewYearRefresh"/>
  </r>
  <r>
    <s v="P245"/>
    <x v="3"/>
    <d v="2025-01-12T00:00:00"/>
    <x v="0"/>
    <s v="Check out our latest reel on facebook!"/>
    <n v="4134"/>
    <n v="824"/>
    <n v="99"/>
    <n v="41340"/>
    <n v="41050"/>
    <n v="177"/>
    <x v="4"/>
    <s v="SummerSplash"/>
  </r>
  <r>
    <s v="P246"/>
    <x v="3"/>
    <d v="2024-10-11T00:00:00"/>
    <x v="4"/>
    <s v="Check out our latest image on facebook!"/>
    <n v="400"/>
    <n v="680"/>
    <n v="434"/>
    <n v="6400"/>
    <n v="5472"/>
    <n v="160"/>
    <x v="0"/>
    <s v="FestiveRadiance"/>
  </r>
  <r>
    <s v="P247"/>
    <x v="3"/>
    <d v="2024-08-27T00:00:00"/>
    <x v="0"/>
    <s v="Check out our latest reel on facebook!"/>
    <n v="3960"/>
    <n v="266"/>
    <n v="8"/>
    <n v="35640"/>
    <n v="34850"/>
    <n v="208"/>
    <x v="0"/>
    <m/>
  </r>
  <r>
    <s v="P247"/>
    <x v="3"/>
    <d v="2024-08-27T00:00:00"/>
    <x v="0"/>
    <s v="Check out our latest reel on facebook!"/>
    <n v="3960"/>
    <n v="266"/>
    <n v="8"/>
    <n v="35640"/>
    <n v="34850"/>
    <n v="208"/>
    <x v="4"/>
    <m/>
  </r>
  <r>
    <s v="P247"/>
    <x v="3"/>
    <d v="2024-08-27T00:00:00"/>
    <x v="0"/>
    <s v="Check out our latest reel on facebook!"/>
    <n v="3960"/>
    <n v="266"/>
    <n v="8"/>
    <n v="35640"/>
    <n v="34850"/>
    <n v="208"/>
    <x v="3"/>
    <m/>
  </r>
  <r>
    <s v="P248"/>
    <x v="3"/>
    <d v="2025-02-02T00:00:00"/>
    <x v="2"/>
    <s v="Check out our latest story on facebook!"/>
    <n v="886"/>
    <n v="126"/>
    <n v="153"/>
    <n v="4430"/>
    <n v="4037"/>
    <n v="212"/>
    <x v="4"/>
    <m/>
  </r>
  <r>
    <s v="P249"/>
    <x v="0"/>
    <d v="2024-07-18T00:00:00"/>
    <x v="4"/>
    <s v="Check out our latest image on twitter!"/>
    <n v="827"/>
    <n v="77"/>
    <n v="402"/>
    <n v="14886"/>
    <n v="14129"/>
    <n v="254"/>
    <x v="4"/>
    <s v="FestiveRadiance"/>
  </r>
  <r>
    <s v="P250"/>
    <x v="3"/>
    <d v="2024-06-22T00:00:00"/>
    <x v="0"/>
    <s v="Check out our latest reel on facebook!"/>
    <n v="3813"/>
    <n v="935"/>
    <n v="274"/>
    <n v="68634"/>
    <n v="68488"/>
    <n v="251"/>
    <x v="0"/>
    <m/>
  </r>
  <r>
    <s v="P251"/>
    <x v="2"/>
    <d v="2025-03-27T00:00:00"/>
    <x v="3"/>
    <s v="Check out our latest carousel on instagram!"/>
    <n v="1377"/>
    <n v="796"/>
    <n v="387"/>
    <n v="22032"/>
    <n v="21869"/>
    <n v="189"/>
    <x v="0"/>
    <m/>
  </r>
  <r>
    <s v="P252"/>
    <x v="3"/>
    <d v="2025-04-28T00:00:00"/>
    <x v="3"/>
    <s v="Check out our latest carousel on facebook!"/>
    <n v="2089"/>
    <n v="476"/>
    <n v="69"/>
    <n v="16712"/>
    <n v="16309"/>
    <n v="64"/>
    <x v="0"/>
    <s v="NewYearRefresh"/>
  </r>
  <r>
    <s v="P253"/>
    <x v="0"/>
    <d v="2024-08-03T00:00:00"/>
    <x v="0"/>
    <s v="Check out our latest reel on twitter!"/>
    <n v="3791"/>
    <n v="593"/>
    <n v="228"/>
    <n v="53074"/>
    <n v="52613"/>
    <n v="205"/>
    <x v="4"/>
    <m/>
  </r>
  <r>
    <s v="P254"/>
    <x v="0"/>
    <d v="2025-01-14T00:00:00"/>
    <x v="4"/>
    <s v="Check out our latest image on twitter!"/>
    <n v="2692"/>
    <n v="115"/>
    <n v="64"/>
    <n v="21536"/>
    <n v="21120"/>
    <n v="224"/>
    <x v="0"/>
    <s v="FestiveRadiance"/>
  </r>
  <r>
    <s v="P255"/>
    <x v="3"/>
    <d v="2025-04-03T00:00:00"/>
    <x v="2"/>
    <s v="Check out our latest story on facebook!"/>
    <n v="3767"/>
    <n v="514"/>
    <n v="238"/>
    <n v="37670"/>
    <n v="36807"/>
    <n v="226"/>
    <x v="0"/>
    <s v="DailyWellness"/>
  </r>
  <r>
    <s v="P256"/>
    <x v="1"/>
    <d v="2024-09-18T00:00:00"/>
    <x v="3"/>
    <s v="Check out our latest carousel on youtube!"/>
    <n v="2143"/>
    <n v="12"/>
    <n v="204"/>
    <n v="40717"/>
    <n v="40125"/>
    <n v="248"/>
    <x v="4"/>
    <s v="FestiveRadiance"/>
  </r>
  <r>
    <s v="P257"/>
    <x v="3"/>
    <d v="2025-04-06T00:00:00"/>
    <x v="4"/>
    <s v="Check out our latest image on facebook!"/>
    <n v="3090"/>
    <n v="697"/>
    <n v="164"/>
    <n v="49440"/>
    <n v="48524"/>
    <n v="25"/>
    <x v="4"/>
    <s v="FestiveRadiance"/>
  </r>
  <r>
    <s v="P257"/>
    <x v="3"/>
    <d v="2025-04-06T00:00:00"/>
    <x v="4"/>
    <s v="Check out our latest image on facebook!"/>
    <n v="3090"/>
    <n v="697"/>
    <n v="164"/>
    <n v="49440"/>
    <n v="48524"/>
    <n v="25"/>
    <x v="4"/>
    <s v="FestiveRadiance"/>
  </r>
  <r>
    <s v="P257"/>
    <x v="3"/>
    <d v="2025-04-06T00:00:00"/>
    <x v="4"/>
    <s v="Check out our latest image on facebook!"/>
    <n v="3090"/>
    <n v="697"/>
    <n v="164"/>
    <n v="49440"/>
    <n v="48524"/>
    <n v="25"/>
    <x v="3"/>
    <s v="FestiveRadiance"/>
  </r>
  <r>
    <s v="P258"/>
    <x v="2"/>
    <d v="2024-08-05T00:00:00"/>
    <x v="2"/>
    <s v="Check out our latest story on instagram!"/>
    <n v="3601"/>
    <n v="695"/>
    <n v="75"/>
    <n v="21606"/>
    <n v="21454"/>
    <n v="172"/>
    <x v="4"/>
    <s v="FestiveRadiance"/>
  </r>
  <r>
    <s v="P259"/>
    <x v="3"/>
    <d v="2025-02-10T00:00:00"/>
    <x v="1"/>
    <s v="Check out our latest text on facebook!"/>
    <n v="562"/>
    <n v="158"/>
    <n v="149"/>
    <n v="3372"/>
    <n v="2940"/>
    <n v="93"/>
    <x v="2"/>
    <s v="SummerSplash"/>
  </r>
  <r>
    <s v="P260"/>
    <x v="2"/>
    <d v="2025-02-12T00:00:00"/>
    <x v="2"/>
    <s v="Check out our latest story on instagram!"/>
    <n v="4332"/>
    <n v="771"/>
    <n v="219"/>
    <n v="60648"/>
    <n v="60397"/>
    <n v="10"/>
    <x v="2"/>
    <s v="NewYearRefresh"/>
  </r>
  <r>
    <s v="P260"/>
    <x v="2"/>
    <d v="2025-02-12T00:00:00"/>
    <x v="2"/>
    <s v="Check out our latest story on instagram!"/>
    <n v="4332"/>
    <n v="771"/>
    <n v="219"/>
    <n v="60648"/>
    <n v="60397"/>
    <n v="10"/>
    <x v="4"/>
    <s v="NewYearRefresh"/>
  </r>
  <r>
    <s v="P260"/>
    <x v="2"/>
    <d v="2025-02-12T00:00:00"/>
    <x v="2"/>
    <s v="Check out our latest story on instagram!"/>
    <n v="4332"/>
    <n v="771"/>
    <n v="219"/>
    <n v="60648"/>
    <n v="60397"/>
    <n v="10"/>
    <x v="3"/>
    <s v="NewYearRefresh"/>
  </r>
  <r>
    <s v="P261"/>
    <x v="2"/>
    <d v="2024-10-27T00:00:00"/>
    <x v="4"/>
    <s v="Check out our latest image on instagram!"/>
    <n v="4853"/>
    <n v="837"/>
    <n v="340"/>
    <n v="72795"/>
    <n v="72237"/>
    <n v="170"/>
    <x v="4"/>
    <s v="SummerSplash"/>
  </r>
  <r>
    <s v="P262"/>
    <x v="1"/>
    <d v="2025-01-18T00:00:00"/>
    <x v="4"/>
    <s v="Check out our latest image on youtube!"/>
    <n v="1206"/>
    <n v="238"/>
    <n v="36"/>
    <n v="9648"/>
    <n v="9417"/>
    <n v="237"/>
    <x v="2"/>
    <m/>
  </r>
  <r>
    <s v="P263"/>
    <x v="2"/>
    <d v="2024-08-20T00:00:00"/>
    <x v="0"/>
    <s v="Check out our latest reel on instagram!"/>
    <n v="2603"/>
    <n v="690"/>
    <n v="205"/>
    <n v="13015"/>
    <n v="12130"/>
    <n v="20"/>
    <x v="0"/>
    <s v="FestiveRadiance"/>
  </r>
  <r>
    <s v="P264"/>
    <x v="0"/>
    <d v="2025-01-30T00:00:00"/>
    <x v="4"/>
    <s v="Check out our latest image on twitter!"/>
    <n v="59"/>
    <n v="163"/>
    <n v="93"/>
    <n v="590"/>
    <n v="475"/>
    <n v="293"/>
    <x v="2"/>
    <s v="FestiveRadiance"/>
  </r>
  <r>
    <s v="P265"/>
    <x v="0"/>
    <d v="2025-02-20T00:00:00"/>
    <x v="3"/>
    <s v="Check out our latest carousel on twitter!"/>
    <n v="1877"/>
    <n v="745"/>
    <n v="225"/>
    <n v="11262"/>
    <n v="10967"/>
    <n v="41"/>
    <x v="4"/>
    <s v="DailyWellness"/>
  </r>
  <r>
    <s v="P266"/>
    <x v="3"/>
    <d v="2024-11-25T00:00:00"/>
    <x v="2"/>
    <s v="Check out our latest story on facebook!"/>
    <n v="4182"/>
    <n v="640"/>
    <n v="240"/>
    <n v="50184"/>
    <n v="49351"/>
    <n v="10"/>
    <x v="2"/>
    <s v="NewYearRefresh"/>
  </r>
  <r>
    <s v="P267"/>
    <x v="0"/>
    <d v="2024-10-04T00:00:00"/>
    <x v="0"/>
    <s v="Check out our latest reel on twitter!"/>
    <n v="4187"/>
    <n v="66"/>
    <n v="31"/>
    <n v="66992"/>
    <n v="66614"/>
    <n v="62"/>
    <x v="0"/>
    <m/>
  </r>
  <r>
    <s v="P268"/>
    <x v="2"/>
    <d v="2025-04-13T00:00:00"/>
    <x v="0"/>
    <s v="Check out our latest reel on instagram!"/>
    <n v="4579"/>
    <n v="125"/>
    <n v="300"/>
    <n v="59527"/>
    <n v="59400"/>
    <n v="269"/>
    <x v="4"/>
    <s v="SummerSplash"/>
  </r>
  <r>
    <s v="P269"/>
    <x v="2"/>
    <d v="2024-11-05T00:00:00"/>
    <x v="5"/>
    <s v="Check out our latest video on instagram!"/>
    <n v="4561"/>
    <n v="51"/>
    <n v="441"/>
    <n v="22805"/>
    <n v="21890"/>
    <n v="45"/>
    <x v="2"/>
    <s v="FestiveRadiance"/>
  </r>
  <r>
    <s v="P270"/>
    <x v="1"/>
    <d v="2025-01-15T00:00:00"/>
    <x v="0"/>
    <s v="Check out our latest reel on youtube!"/>
    <n v="3774"/>
    <n v="239"/>
    <n v="39"/>
    <n v="60384"/>
    <n v="59490"/>
    <n v="241"/>
    <x v="2"/>
    <s v="NewYearRefresh"/>
  </r>
  <r>
    <s v="P271"/>
    <x v="2"/>
    <d v="2024-10-17T00:00:00"/>
    <x v="5"/>
    <s v="Check out our latest video on instagram!"/>
    <n v="3575"/>
    <n v="749"/>
    <n v="111"/>
    <n v="21450"/>
    <n v="20785"/>
    <n v="195"/>
    <x v="4"/>
    <s v="FestiveRadiance"/>
  </r>
  <r>
    <s v="P272"/>
    <x v="2"/>
    <d v="2025-03-27T00:00:00"/>
    <x v="1"/>
    <s v="Check out our latest text on instagram!"/>
    <n v="4941"/>
    <n v="414"/>
    <n v="266"/>
    <n v="39528"/>
    <n v="39154"/>
    <n v="217"/>
    <x v="2"/>
    <s v="NewYearRefresh"/>
  </r>
  <r>
    <s v="P273"/>
    <x v="1"/>
    <d v="2024-10-12T00:00:00"/>
    <x v="2"/>
    <s v="Check out our latest story on youtube!"/>
    <n v="3641"/>
    <n v="226"/>
    <n v="46"/>
    <n v="40051"/>
    <n v="39319"/>
    <n v="296"/>
    <x v="4"/>
    <s v="DailyWellness"/>
  </r>
  <r>
    <s v="P274"/>
    <x v="0"/>
    <d v="2025-01-01T00:00:00"/>
    <x v="3"/>
    <s v="Check out our latest carousel on twitter!"/>
    <n v="3535"/>
    <n v="494"/>
    <n v="152"/>
    <n v="53025"/>
    <n v="52791"/>
    <n v="44"/>
    <x v="2"/>
    <s v="DailyWellness"/>
  </r>
  <r>
    <s v="P275"/>
    <x v="3"/>
    <d v="2024-08-05T00:00:00"/>
    <x v="0"/>
    <s v="Check out our latest reel on facebook!"/>
    <n v="1741"/>
    <n v="831"/>
    <n v="345"/>
    <n v="17410"/>
    <n v="16844"/>
    <n v="58"/>
    <x v="4"/>
    <s v="NewYearRefresh"/>
  </r>
  <r>
    <s v="P276"/>
    <x v="0"/>
    <d v="2024-06-07T00:00:00"/>
    <x v="3"/>
    <s v="Check out our latest carousel on twitter!"/>
    <n v="1556"/>
    <n v="195"/>
    <n v="131"/>
    <n v="9336"/>
    <n v="8875"/>
    <n v="137"/>
    <x v="2"/>
    <s v="FestiveRadiance"/>
  </r>
  <r>
    <s v="P277"/>
    <x v="3"/>
    <d v="2025-04-06T00:00:00"/>
    <x v="4"/>
    <s v="Check out our latest image on facebook!"/>
    <n v="4236"/>
    <n v="711"/>
    <n v="298"/>
    <n v="21180"/>
    <n v="20516"/>
    <n v="238"/>
    <x v="0"/>
    <s v="SummerSplash"/>
  </r>
  <r>
    <s v="P278"/>
    <x v="0"/>
    <d v="2024-11-26T00:00:00"/>
    <x v="1"/>
    <s v="Check out our latest text on twitter!"/>
    <n v="4516"/>
    <n v="836"/>
    <n v="169"/>
    <n v="49676"/>
    <n v="49257"/>
    <n v="282"/>
    <x v="4"/>
    <s v="DailyWellness"/>
  </r>
  <r>
    <s v="P279"/>
    <x v="1"/>
    <d v="2024-09-02T00:00:00"/>
    <x v="4"/>
    <s v="Check out our latest image on youtube!"/>
    <n v="4905"/>
    <n v="845"/>
    <n v="129"/>
    <n v="98100"/>
    <n v="97772"/>
    <n v="279"/>
    <x v="2"/>
    <s v="FestiveRadiance"/>
  </r>
  <r>
    <s v="P280"/>
    <x v="1"/>
    <d v="2024-10-21T00:00:00"/>
    <x v="5"/>
    <s v="Check out our latest video on youtube!"/>
    <n v="4275"/>
    <n v="680"/>
    <n v="385"/>
    <n v="64125"/>
    <n v="63650"/>
    <n v="104"/>
    <x v="4"/>
    <s v="DailyWellness"/>
  </r>
  <r>
    <s v="P280"/>
    <x v="1"/>
    <d v="2024-10-21T00:00:00"/>
    <x v="5"/>
    <s v="Check out our latest video on youtube!"/>
    <n v="4275"/>
    <n v="680"/>
    <n v="385"/>
    <n v="64125"/>
    <n v="63650"/>
    <n v="104"/>
    <x v="2"/>
    <s v="DailyWellness"/>
  </r>
  <r>
    <s v="P280"/>
    <x v="1"/>
    <d v="2024-10-21T00:00:00"/>
    <x v="5"/>
    <s v="Check out our latest video on youtube!"/>
    <n v="4275"/>
    <n v="680"/>
    <n v="385"/>
    <n v="64125"/>
    <n v="63650"/>
    <n v="104"/>
    <x v="1"/>
    <s v="DailyWellness"/>
  </r>
  <r>
    <s v="P281"/>
    <x v="1"/>
    <d v="2025-03-22T00:00:00"/>
    <x v="4"/>
    <s v="Check out our latest image on youtube!"/>
    <n v="3166"/>
    <n v="90"/>
    <n v="341"/>
    <n v="56988"/>
    <n v="56125"/>
    <n v="135"/>
    <x v="4"/>
    <s v="FestiveRadiance"/>
  </r>
  <r>
    <s v="P282"/>
    <x v="2"/>
    <d v="2024-10-03T00:00:00"/>
    <x v="5"/>
    <s v="Check out our latest video on instagram!"/>
    <n v="1488"/>
    <n v="417"/>
    <n v="168"/>
    <n v="19344"/>
    <n v="18395"/>
    <n v="30"/>
    <x v="0"/>
    <s v="NewYearRefresh"/>
  </r>
  <r>
    <s v="P283"/>
    <x v="0"/>
    <d v="2025-05-09T00:00:00"/>
    <x v="0"/>
    <s v="Check out our latest reel on twitter!"/>
    <n v="3367"/>
    <n v="302"/>
    <n v="57"/>
    <n v="63973"/>
    <n v="63789"/>
    <n v="157"/>
    <x v="0"/>
    <s v="FestiveRadiance"/>
  </r>
  <r>
    <s v="P284"/>
    <x v="0"/>
    <d v="2024-09-17T00:00:00"/>
    <x v="1"/>
    <s v="Check out our latest text on twitter!"/>
    <n v="571"/>
    <n v="190"/>
    <n v="352"/>
    <n v="9707"/>
    <n v="9418"/>
    <n v="231"/>
    <x v="2"/>
    <s v="DailyWellness"/>
  </r>
  <r>
    <s v="P285"/>
    <x v="1"/>
    <d v="2024-07-18T00:00:00"/>
    <x v="1"/>
    <s v="Check out our latest text on youtube!"/>
    <n v="4021"/>
    <n v="794"/>
    <n v="77"/>
    <n v="36189"/>
    <n v="35505"/>
    <n v="174"/>
    <x v="4"/>
    <m/>
  </r>
  <r>
    <s v="P286"/>
    <x v="1"/>
    <d v="2024-09-25T00:00:00"/>
    <x v="5"/>
    <s v="Check out our latest video on youtube!"/>
    <n v="3389"/>
    <n v="344"/>
    <n v="229"/>
    <n v="20334"/>
    <n v="19443"/>
    <n v="228"/>
    <x v="0"/>
    <s v="NewYearRefresh"/>
  </r>
  <r>
    <s v="P287"/>
    <x v="2"/>
    <d v="2024-08-15T00:00:00"/>
    <x v="0"/>
    <s v="Check out our latest reel on instagram!"/>
    <n v="1164"/>
    <n v="616"/>
    <n v="324"/>
    <n v="6984"/>
    <n v="6636"/>
    <n v="82"/>
    <x v="4"/>
    <s v="SummerSplash"/>
  </r>
  <r>
    <s v="P288"/>
    <x v="1"/>
    <d v="2025-04-17T00:00:00"/>
    <x v="3"/>
    <s v="Check out our latest carousel on youtube!"/>
    <n v="4780"/>
    <n v="691"/>
    <n v="380"/>
    <n v="86040"/>
    <n v="85743"/>
    <n v="262"/>
    <x v="0"/>
    <s v="NewYearRefresh"/>
  </r>
  <r>
    <s v="P289"/>
    <x v="3"/>
    <d v="2024-11-28T00:00:00"/>
    <x v="3"/>
    <s v="Check out our latest carousel on facebook!"/>
    <n v="2751"/>
    <n v="33"/>
    <n v="430"/>
    <n v="44016"/>
    <n v="43415"/>
    <n v="129"/>
    <x v="0"/>
    <m/>
  </r>
  <r>
    <s v="P290"/>
    <x v="2"/>
    <d v="2024-12-20T00:00:00"/>
    <x v="3"/>
    <s v="Check out our latest carousel on instagram!"/>
    <n v="2107"/>
    <n v="550"/>
    <n v="349"/>
    <n v="35819"/>
    <n v="35340"/>
    <n v="191"/>
    <x v="4"/>
    <s v="DailyWellness"/>
  </r>
  <r>
    <s v="P291"/>
    <x v="3"/>
    <d v="2024-11-06T00:00:00"/>
    <x v="5"/>
    <s v="Check out our latest video on facebook!"/>
    <n v="4663"/>
    <n v="145"/>
    <n v="225"/>
    <n v="69945"/>
    <n v="69596"/>
    <n v="35"/>
    <x v="4"/>
    <s v="DailyWellness"/>
  </r>
  <r>
    <s v="P292"/>
    <x v="3"/>
    <d v="2024-11-17T00:00:00"/>
    <x v="1"/>
    <s v="Check out our latest text on facebook!"/>
    <n v="880"/>
    <n v="297"/>
    <n v="345"/>
    <n v="12320"/>
    <n v="11978"/>
    <n v="238"/>
    <x v="2"/>
    <m/>
  </r>
  <r>
    <s v="P292"/>
    <x v="3"/>
    <d v="2024-11-17T00:00:00"/>
    <x v="1"/>
    <s v="Check out our latest text on facebook!"/>
    <n v="880"/>
    <n v="297"/>
    <n v="345"/>
    <n v="12320"/>
    <n v="11978"/>
    <n v="238"/>
    <x v="1"/>
    <m/>
  </r>
  <r>
    <s v="P293"/>
    <x v="3"/>
    <d v="2025-05-14T00:00:00"/>
    <x v="1"/>
    <s v="Check out our latest text on facebook!"/>
    <n v="2634"/>
    <n v="726"/>
    <n v="241"/>
    <n v="28974"/>
    <n v="28102"/>
    <n v="277"/>
    <x v="4"/>
    <s v="SummerSplash"/>
  </r>
  <r>
    <s v="P294"/>
    <x v="3"/>
    <d v="2024-06-19T00:00:00"/>
    <x v="3"/>
    <s v="Check out our latest carousel on facebook!"/>
    <n v="4731"/>
    <n v="173"/>
    <n v="276"/>
    <n v="28386"/>
    <n v="28185"/>
    <n v="89"/>
    <x v="4"/>
    <s v="NewYearRefresh"/>
  </r>
  <r>
    <s v="P295"/>
    <x v="0"/>
    <d v="2025-05-06T00:00:00"/>
    <x v="4"/>
    <s v="Check out our latest image on twitter!"/>
    <n v="1952"/>
    <n v="344"/>
    <n v="287"/>
    <n v="15616"/>
    <n v="15403"/>
    <n v="235"/>
    <x v="0"/>
    <s v="FestiveRadiance"/>
  </r>
  <r>
    <s v="P295"/>
    <x v="0"/>
    <d v="2025-05-06T00:00:00"/>
    <x v="4"/>
    <s v="Check out our latest image on twitter!"/>
    <n v="1952"/>
    <n v="344"/>
    <n v="287"/>
    <n v="15616"/>
    <n v="15403"/>
    <n v="235"/>
    <x v="2"/>
    <s v="FestiveRadiance"/>
  </r>
  <r>
    <s v="P295"/>
    <x v="0"/>
    <d v="2025-05-06T00:00:00"/>
    <x v="4"/>
    <s v="Check out our latest image on twitter!"/>
    <n v="1952"/>
    <n v="344"/>
    <n v="287"/>
    <n v="15616"/>
    <n v="15403"/>
    <n v="235"/>
    <x v="1"/>
    <s v="FestiveRadiance"/>
  </r>
  <r>
    <s v="P296"/>
    <x v="0"/>
    <d v="2025-02-11T00:00:00"/>
    <x v="5"/>
    <s v="Check out our latest video on twitter!"/>
    <n v="3440"/>
    <n v="13"/>
    <n v="20"/>
    <n v="58480"/>
    <n v="58146"/>
    <n v="210"/>
    <x v="2"/>
    <s v="DailyWellness"/>
  </r>
  <r>
    <s v="P296"/>
    <x v="0"/>
    <d v="2025-02-11T00:00:00"/>
    <x v="5"/>
    <s v="Check out our latest video on twitter!"/>
    <n v="3440"/>
    <n v="13"/>
    <n v="20"/>
    <n v="58480"/>
    <n v="58146"/>
    <n v="210"/>
    <x v="5"/>
    <s v="DailyWellness"/>
  </r>
  <r>
    <s v="P297"/>
    <x v="0"/>
    <d v="2024-12-24T00:00:00"/>
    <x v="1"/>
    <s v="Check out our latest text on twitter!"/>
    <n v="2166"/>
    <n v="354"/>
    <n v="117"/>
    <n v="10830"/>
    <n v="10245"/>
    <n v="24"/>
    <x v="4"/>
    <s v="DailyWellness"/>
  </r>
  <r>
    <s v="P298"/>
    <x v="3"/>
    <d v="2024-10-24T00:00:00"/>
    <x v="4"/>
    <s v="Check out our latest image on facebook!"/>
    <n v="4303"/>
    <n v="451"/>
    <n v="286"/>
    <n v="86060"/>
    <n v="85823"/>
    <n v="14"/>
    <x v="2"/>
    <s v="NewYearRefresh"/>
  </r>
  <r>
    <s v="P299"/>
    <x v="3"/>
    <d v="2024-08-26T00:00:00"/>
    <x v="4"/>
    <s v="Check out our latest image on facebook!"/>
    <n v="2581"/>
    <n v="517"/>
    <n v="117"/>
    <n v="23229"/>
    <n v="22331"/>
    <n v="70"/>
    <x v="0"/>
    <s v="NewYearRefresh"/>
  </r>
  <r>
    <s v="P300"/>
    <x v="0"/>
    <d v="2024-08-31T00:00:00"/>
    <x v="3"/>
    <s v="Check out our latest carousel on twitter!"/>
    <n v="4494"/>
    <n v="717"/>
    <n v="45"/>
    <n v="62916"/>
    <n v="62688"/>
    <n v="191"/>
    <x v="2"/>
    <s v="SummerSplash"/>
  </r>
  <r>
    <s v="P300"/>
    <x v="0"/>
    <d v="2024-08-31T00:00:00"/>
    <x v="3"/>
    <s v="Check out our latest carousel on twitter!"/>
    <n v="4494"/>
    <n v="717"/>
    <n v="45"/>
    <n v="62916"/>
    <n v="62688"/>
    <n v="191"/>
    <x v="4"/>
    <s v="SummerSplash"/>
  </r>
  <r>
    <s v="P300"/>
    <x v="0"/>
    <d v="2024-08-31T00:00:00"/>
    <x v="3"/>
    <s v="Check out our latest carousel on twitter!"/>
    <n v="4494"/>
    <n v="717"/>
    <n v="45"/>
    <n v="62916"/>
    <n v="62688"/>
    <n v="191"/>
    <x v="3"/>
    <s v="SummerSplas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514567-96A5-4334-AB79-A49A4B7F3985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32" firstHeaderRow="0" firstDataRow="1" firstDataCol="1"/>
  <pivotFields count="13">
    <pivotField showAll="0"/>
    <pivotField axis="axisRow" showAll="0">
      <items count="5">
        <item x="3"/>
        <item x="2"/>
        <item x="0"/>
        <item x="1"/>
        <item t="default"/>
      </items>
    </pivotField>
    <pivotField numFmtId="14"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</pivotFields>
  <rowFields count="2">
    <field x="1"/>
    <field x="3"/>
  </rowFields>
  <rowItems count="29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Likes" fld="5" baseField="1" baseItem="0" numFmtId="3"/>
    <dataField name="Sum of Shares" fld="6" baseField="0" baseItem="0" numFmtId="3"/>
    <dataField name="Sum of Comments" fld="7" baseField="3" baseItem="0" numFmtId="3"/>
    <dataField name="Sum of Impressions" fld="8" baseField="1" baseItem="0" numFmtId="3"/>
    <dataField name="Sum of Reach" fld="9" baseField="1" baseItem="0" numFmtId="3"/>
  </dataFields>
  <formats count="4">
    <format dxfId="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44415-C091-4496-A2C1-F06D97D5595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7">
        <item x="4"/>
        <item x="5"/>
        <item x="2"/>
        <item x="0"/>
        <item x="3"/>
        <item x="1"/>
        <item t="default"/>
      </items>
    </pivotField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Clicks" fld="10" subtotal="average" baseField="1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09A5DDD-10C7-4816-B422-7665943E18A7}" name="Table10" displayName="Table10" ref="A1:G201" totalsRowShown="0" headerRowDxfId="29" dataDxfId="27" headerRowBorderDxfId="28" tableBorderDxfId="26">
  <autoFilter ref="A1:G201" xr:uid="{8EDC51F2-0AE4-4325-8FAF-37384AEE7648}"/>
  <sortState xmlns:xlrd2="http://schemas.microsoft.com/office/spreadsheetml/2017/richdata2" ref="A2:G201">
    <sortCondition ref="B1:B201"/>
  </sortState>
  <tableColumns count="7">
    <tableColumn id="1" xr3:uid="{344BEF42-B589-4D2A-8FDF-2582527DE722}" name="Week_Start_Date" dataDxfId="25"/>
    <tableColumn id="2" xr3:uid="{32D506DC-3B8A-4E6E-A614-D1093A93E8D6}" name="Platform" dataDxfId="24"/>
    <tableColumn id="3" xr3:uid="{C9CACB83-D2E6-45C9-A485-5AE61974BDE4}" name="New_Followers" dataDxfId="23"/>
    <tableColumn id="4" xr3:uid="{C48C206A-7F25-4B69-B5C2-8EC1214F71C0}" name="Unfollows" dataDxfId="22"/>
    <tableColumn id="5" xr3:uid="{7EC3EE6D-8814-421B-8DBE-76BA7739CB48}" name="Total_Followers" dataDxfId="21"/>
    <tableColumn id="6" xr3:uid="{865A3D23-DEF6-4B34-8106-56B24E1D560D}" name="Engagement_Rate" dataDxfId="20"/>
    <tableColumn id="7" xr3:uid="{AFC9295D-1F4C-4E6B-AFC7-D6D0C59E551E}" name="Ad_Spend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B8448F4-36BA-4BE1-A883-57F04F223341}" name="Table11" displayName="Table11" ref="H1:H201" totalsRowShown="0" headerRowDxfId="18" dataDxfId="17">
  <autoFilter ref="H1:H201" xr:uid="{A437BAC5-E7D0-4DA8-9F9E-E4E942F92EED}"/>
  <tableColumns count="1">
    <tableColumn id="1" xr3:uid="{44CD6F57-511F-4FFD-85A4-E07B690D9314}" name="Engagement_Value" dataDxfId="16">
      <calculatedColumnFormula>E2 * F2 / 100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68D28EE-E1EA-4025-8952-7A26933C69E9}" name="Table37" displayName="Table37" ref="J1:J201" totalsRowShown="0">
  <autoFilter ref="J1:J201" xr:uid="{6B72DAE6-AE56-48F5-9F87-B96FBA46C75C}"/>
  <tableColumns count="1">
    <tableColumn id="1" xr3:uid="{6E15AF96-683A-4775-8B35-8F073710E377}" name="Campaign_Name">
      <calculatedColumnFormula>IF(AND(A2&gt;=DATE(2024,6,15), A2&lt;=DATE(2024,7,15)), "SummerSplash",
 IF(AND(A2&gt;=DATE(2024,10,1), A2&lt;=DATE(2024,10,31)), "FestiveRadiance",
 IF(AND(A2&gt;=DATE(2024,12,25), A2&lt;=DATE(2025,1,10)), "NewYearRefresh",
 IF(AND(A2&gt;=DATE(2025,3,1), A2&lt;=DATE(2025,3,31)), "DailyWellness", ""))))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A6CB2BC-B4BD-4FA3-84D5-77AB559962B6}" name="Table14" displayName="Table14" ref="I1:I201" totalsRowShown="0" headerRowDxfId="15" dataDxfId="14" tableBorderDxfId="13">
  <autoFilter ref="I1:I201" xr:uid="{D6CD6A95-0F03-4C61-9C35-BEA9125B4A92}"/>
  <tableColumns count="1">
    <tableColumn id="1" xr3:uid="{D9261051-56BB-4694-B5D0-48FBD6608442}" name="Net Followers" dataDxfId="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E17F7B3-726C-41D6-BDD3-03978C36CE76}" name="Table8" displayName="Table8" ref="K1:K201" totalsRowShown="0">
  <autoFilter ref="K1:K201" xr:uid="{055E1C9A-66CB-42C9-B80D-E68D72768E7A}"/>
  <tableColumns count="1">
    <tableColumn id="1" xr3:uid="{8AAD7038-C743-499C-AEBE-2D06F72C5B4E}" name="Avg Engagment rate(Before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331B8F-C3F5-45F5-8BAC-75AFBAEC1582}" name="Table7" displayName="Table7" ref="A1:O11" totalsRowShown="0">
  <autoFilter ref="A1:O11" xr:uid="{90331B8F-C3F5-45F5-8BAC-75AFBAEC1582}"/>
  <sortState xmlns:xlrd2="http://schemas.microsoft.com/office/spreadsheetml/2017/richdata2" ref="A2:O11">
    <sortCondition ref="O6:O11"/>
  </sortState>
  <tableColumns count="15">
    <tableColumn id="1" xr3:uid="{AB618775-D871-4461-AAB1-336462864BF0}" name="Post ID" dataDxfId="11"/>
    <tableColumn id="2" xr3:uid="{CE18AB03-20BB-41B8-A06D-0836DAFD60C8}" name="Platform" dataDxfId="10"/>
    <tableColumn id="3" xr3:uid="{D7B3226D-C7E6-4028-ADE8-C016ED0172A8}" name="Date" dataDxfId="9"/>
    <tableColumn id="4" xr3:uid="{A959085B-8E28-48E6-8172-DAAAA3A0D941}" name="Content Type" dataDxfId="8"/>
    <tableColumn id="5" xr3:uid="{6FBDBA9B-6273-4DD0-84B3-3D4E7E941368}" name="Post Text" dataDxfId="7"/>
    <tableColumn id="6" xr3:uid="{37E0CEFE-1D99-4403-BEB0-4B88C27F6DD2}" name="Likes"/>
    <tableColumn id="7" xr3:uid="{994CA654-EDD5-46E8-B79C-A05CF9DD2ACC}" name="Shares"/>
    <tableColumn id="8" xr3:uid="{D6CAF632-6C53-4069-A4C0-9E12AEB4A2A7}" name="Comments"/>
    <tableColumn id="9" xr3:uid="{5E859BC1-7971-4E64-908B-F7D90AE9D19B}" name="Impressions"/>
    <tableColumn id="10" xr3:uid="{90D588B2-609D-43A1-A2AD-A1F9D9F91E23}" name="Reach"/>
    <tableColumn id="11" xr3:uid="{F45A43C8-CAC4-4843-83F2-4319A8F54568}" name="Clicks"/>
    <tableColumn id="12" xr3:uid="{24DD3E1F-FC94-4EC8-A26D-4F70AA571D36}" name="Hashtags Used" dataDxfId="6"/>
    <tableColumn id="13" xr3:uid="{9E1E84ED-D5C8-4B0B-A28E-ACCB24FD234A}" name="Campaign_Name" dataDxfId="5"/>
    <tableColumn id="14" xr3:uid="{329ED1C9-AE98-4695-9434-218D45B9B286}" name="Engagement Rate" dataDxfId="4"/>
    <tableColumn id="15" xr3:uid="{ACE69231-55FA-4580-A33A-A4D941D11933}" name="Ra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C8B58-D003-44F7-8B05-238332747434}">
  <dimension ref="A1:K1000"/>
  <sheetViews>
    <sheetView tabSelected="1" workbookViewId="0">
      <selection activeCell="F2" sqref="F2:F201"/>
    </sheetView>
  </sheetViews>
  <sheetFormatPr defaultColWidth="14.44140625" defaultRowHeight="14.4" x14ac:dyDescent="0.3"/>
  <cols>
    <col min="1" max="1" width="20.21875" style="13" bestFit="1" customWidth="1"/>
    <col min="2" max="2" width="12.77734375" bestFit="1" customWidth="1"/>
    <col min="3" max="3" width="18.21875" style="9" bestFit="1" customWidth="1"/>
    <col min="4" max="4" width="13.88671875" style="9" bestFit="1" customWidth="1"/>
    <col min="5" max="5" width="18.6640625" style="9" bestFit="1" customWidth="1"/>
    <col min="6" max="6" width="20.88671875" bestFit="1" customWidth="1"/>
    <col min="7" max="7" width="14.109375" style="23" bestFit="1" customWidth="1"/>
    <col min="8" max="8" width="20.33203125" style="20" customWidth="1"/>
    <col min="9" max="9" width="19.77734375" style="9" customWidth="1"/>
    <col min="10" max="10" width="17.77734375" bestFit="1" customWidth="1"/>
    <col min="11" max="11" width="25.5546875" customWidth="1"/>
    <col min="12" max="24" width="8.6640625" customWidth="1"/>
  </cols>
  <sheetData>
    <row r="1" spans="1:11" ht="14.2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24" t="s">
        <v>5</v>
      </c>
      <c r="G1" s="21" t="s">
        <v>6</v>
      </c>
      <c r="H1" s="25" t="s">
        <v>7</v>
      </c>
      <c r="I1" s="5" t="s">
        <v>8</v>
      </c>
      <c r="J1" t="s">
        <v>9</v>
      </c>
      <c r="K1" t="s">
        <v>70</v>
      </c>
    </row>
    <row r="2" spans="1:11" ht="14.25" customHeight="1" x14ac:dyDescent="0.3">
      <c r="A2" s="6">
        <v>45446</v>
      </c>
      <c r="B2" s="7" t="s">
        <v>10</v>
      </c>
      <c r="C2" s="8">
        <v>1312</v>
      </c>
      <c r="D2" s="8">
        <v>310</v>
      </c>
      <c r="E2" s="8">
        <v>42654</v>
      </c>
      <c r="F2" s="7">
        <v>4.9800000000000004</v>
      </c>
      <c r="G2" s="22">
        <v>9566</v>
      </c>
      <c r="H2" s="20">
        <f t="shared" ref="H2:H33" si="0">E2 * F2 / 100</f>
        <v>2124.1692000000003</v>
      </c>
      <c r="I2" s="10">
        <f t="shared" ref="I2:I33" si="1" xml:space="preserve"> C2 - D2</f>
        <v>1002</v>
      </c>
      <c r="J2" t="str">
        <f t="shared" ref="J2:J33" si="2">IF(AND(A2&gt;=DATE(2024,6,15), A2&lt;=DATE(2024,7,15)), "SummerSplash",
 IF(AND(A2&gt;=DATE(2024,10,1), A2&lt;=DATE(2024,10,31)), "FestiveRadiance",
 IF(AND(A2&gt;=DATE(2024,12,25), A2&lt;=DATE(2025,1,10)), "NewYearRefresh",
 IF(AND(A2&gt;=DATE(2025,3,1), A2&lt;=DATE(2025,3,31)), "DailyWellness", ""))))</f>
        <v/>
      </c>
      <c r="K2" s="20">
        <f>AVERAGE(F2:F201)</f>
        <v>5.6442765000000001</v>
      </c>
    </row>
    <row r="3" spans="1:11" ht="14.25" customHeight="1" x14ac:dyDescent="0.3">
      <c r="A3" s="6">
        <v>45453</v>
      </c>
      <c r="B3" s="7" t="s">
        <v>10</v>
      </c>
      <c r="C3" s="8">
        <v>1697</v>
      </c>
      <c r="D3" s="8">
        <v>414</v>
      </c>
      <c r="E3" s="8">
        <v>316555</v>
      </c>
      <c r="F3" s="7">
        <v>2.37</v>
      </c>
      <c r="G3" s="22">
        <v>7924</v>
      </c>
      <c r="H3" s="20">
        <f t="shared" si="0"/>
        <v>7502.3535000000002</v>
      </c>
      <c r="I3" s="11">
        <f t="shared" si="1"/>
        <v>1283</v>
      </c>
      <c r="J3" t="str">
        <f t="shared" si="2"/>
        <v/>
      </c>
      <c r="K3" s="20">
        <f t="shared" ref="K3:K33" si="3">AVERAGE(F3:F202)</f>
        <v>5.6476145728643203</v>
      </c>
    </row>
    <row r="4" spans="1:11" ht="14.25" customHeight="1" x14ac:dyDescent="0.3">
      <c r="A4" s="6">
        <v>45460</v>
      </c>
      <c r="B4" s="7" t="s">
        <v>10</v>
      </c>
      <c r="C4" s="8">
        <v>1753</v>
      </c>
      <c r="D4" s="8">
        <v>371</v>
      </c>
      <c r="E4" s="8">
        <v>169496</v>
      </c>
      <c r="F4" s="7">
        <v>8.11</v>
      </c>
      <c r="G4" s="22">
        <v>46670</v>
      </c>
      <c r="H4" s="20">
        <f t="shared" si="0"/>
        <v>13746.125599999998</v>
      </c>
      <c r="I4" s="10">
        <f t="shared" si="1"/>
        <v>1382</v>
      </c>
      <c r="J4" t="str">
        <f t="shared" si="2"/>
        <v>SummerSplash</v>
      </c>
      <c r="K4" s="20">
        <f t="shared" si="3"/>
        <v>5.6641681818181793</v>
      </c>
    </row>
    <row r="5" spans="1:11" ht="14.25" customHeight="1" x14ac:dyDescent="0.3">
      <c r="A5" s="6">
        <v>45467</v>
      </c>
      <c r="B5" s="7" t="s">
        <v>10</v>
      </c>
      <c r="C5" s="8">
        <v>1779</v>
      </c>
      <c r="D5" s="8">
        <v>109</v>
      </c>
      <c r="E5" s="8">
        <v>26295</v>
      </c>
      <c r="F5" s="7">
        <v>9.1199999999999992</v>
      </c>
      <c r="G5" s="22">
        <v>30635</v>
      </c>
      <c r="H5" s="20">
        <f t="shared" si="0"/>
        <v>2398.1039999999998</v>
      </c>
      <c r="I5" s="11">
        <f t="shared" si="1"/>
        <v>1670</v>
      </c>
      <c r="J5" t="str">
        <f t="shared" si="2"/>
        <v>SummerSplash</v>
      </c>
      <c r="K5" s="20">
        <f t="shared" si="3"/>
        <v>5.6517527918781711</v>
      </c>
    </row>
    <row r="6" spans="1:11" ht="14.25" customHeight="1" x14ac:dyDescent="0.3">
      <c r="A6" s="6">
        <v>45474</v>
      </c>
      <c r="B6" s="7" t="s">
        <v>10</v>
      </c>
      <c r="C6" s="8">
        <v>505</v>
      </c>
      <c r="D6" s="8">
        <v>441</v>
      </c>
      <c r="E6" s="8">
        <v>220020</v>
      </c>
      <c r="F6" s="7">
        <v>4.4800000000000004</v>
      </c>
      <c r="G6" s="22">
        <v>42307</v>
      </c>
      <c r="H6" s="20">
        <f t="shared" si="0"/>
        <v>9856.8960000000006</v>
      </c>
      <c r="I6" s="10">
        <f t="shared" si="1"/>
        <v>64</v>
      </c>
      <c r="J6" t="str">
        <f t="shared" si="2"/>
        <v>SummerSplash</v>
      </c>
      <c r="K6" s="20">
        <f t="shared" si="3"/>
        <v>5.6340576530612232</v>
      </c>
    </row>
    <row r="7" spans="1:11" ht="14.25" customHeight="1" x14ac:dyDescent="0.3">
      <c r="A7" s="6">
        <v>45481</v>
      </c>
      <c r="B7" s="7" t="s">
        <v>10</v>
      </c>
      <c r="C7" s="8">
        <v>350</v>
      </c>
      <c r="D7" s="8">
        <v>41</v>
      </c>
      <c r="E7" s="8">
        <v>251694</v>
      </c>
      <c r="F7" s="7">
        <v>1.91</v>
      </c>
      <c r="G7" s="22">
        <v>38610</v>
      </c>
      <c r="H7" s="20">
        <f t="shared" si="0"/>
        <v>4807.3553999999995</v>
      </c>
      <c r="I7" s="11">
        <f t="shared" si="1"/>
        <v>309</v>
      </c>
      <c r="J7" t="str">
        <f t="shared" si="2"/>
        <v>SummerSplash</v>
      </c>
      <c r="K7" s="20">
        <f t="shared" si="3"/>
        <v>5.639975897435896</v>
      </c>
    </row>
    <row r="8" spans="1:11" ht="14.25" customHeight="1" x14ac:dyDescent="0.3">
      <c r="A8" s="6">
        <v>45488</v>
      </c>
      <c r="B8" s="7" t="s">
        <v>10</v>
      </c>
      <c r="C8" s="8">
        <v>170</v>
      </c>
      <c r="D8" s="8">
        <v>334</v>
      </c>
      <c r="E8" s="8">
        <v>334626</v>
      </c>
      <c r="F8" s="7">
        <v>6.44</v>
      </c>
      <c r="G8" s="22">
        <v>43420</v>
      </c>
      <c r="H8" s="20">
        <f t="shared" si="0"/>
        <v>21549.914399999998</v>
      </c>
      <c r="I8" s="10">
        <f t="shared" si="1"/>
        <v>-164</v>
      </c>
      <c r="J8" t="str">
        <f t="shared" si="2"/>
        <v>SummerSplash</v>
      </c>
      <c r="K8" s="20">
        <f t="shared" si="3"/>
        <v>5.6592025773195864</v>
      </c>
    </row>
    <row r="9" spans="1:11" ht="14.25" customHeight="1" x14ac:dyDescent="0.3">
      <c r="A9" s="6">
        <v>45495</v>
      </c>
      <c r="B9" s="7" t="s">
        <v>10</v>
      </c>
      <c r="C9" s="8">
        <v>1391</v>
      </c>
      <c r="D9" s="8">
        <v>430</v>
      </c>
      <c r="E9" s="8">
        <v>295032</v>
      </c>
      <c r="F9" s="7">
        <v>7.86</v>
      </c>
      <c r="G9" s="22">
        <v>26067</v>
      </c>
      <c r="H9" s="20">
        <f t="shared" si="0"/>
        <v>23189.515200000002</v>
      </c>
      <c r="I9" s="11">
        <f t="shared" si="1"/>
        <v>961</v>
      </c>
      <c r="J9" t="str">
        <f t="shared" si="2"/>
        <v/>
      </c>
      <c r="K9" s="20">
        <f t="shared" si="3"/>
        <v>5.6551569948186522</v>
      </c>
    </row>
    <row r="10" spans="1:11" ht="14.25" customHeight="1" x14ac:dyDescent="0.3">
      <c r="A10" s="6">
        <v>45502</v>
      </c>
      <c r="B10" s="7" t="s">
        <v>10</v>
      </c>
      <c r="C10" s="8">
        <v>160</v>
      </c>
      <c r="D10" s="8">
        <v>478</v>
      </c>
      <c r="E10" s="8">
        <v>435034</v>
      </c>
      <c r="F10" s="7">
        <v>7.73</v>
      </c>
      <c r="G10" s="22">
        <v>4839</v>
      </c>
      <c r="H10" s="20">
        <f t="shared" si="0"/>
        <v>33628.128200000006</v>
      </c>
      <c r="I10" s="10">
        <f t="shared" si="1"/>
        <v>-318</v>
      </c>
      <c r="J10" t="str">
        <f t="shared" si="2"/>
        <v/>
      </c>
      <c r="K10" s="20">
        <f t="shared" si="3"/>
        <v>5.6436734374999995</v>
      </c>
    </row>
    <row r="11" spans="1:11" ht="14.25" customHeight="1" x14ac:dyDescent="0.3">
      <c r="A11" s="6">
        <v>45509</v>
      </c>
      <c r="B11" s="7" t="s">
        <v>10</v>
      </c>
      <c r="C11" s="8">
        <v>214</v>
      </c>
      <c r="D11" s="8">
        <v>411</v>
      </c>
      <c r="E11" s="8">
        <v>125034</v>
      </c>
      <c r="F11" s="7">
        <v>6.11</v>
      </c>
      <c r="G11" s="22">
        <v>26455</v>
      </c>
      <c r="H11" s="20">
        <f t="shared" si="0"/>
        <v>7639.5774000000001</v>
      </c>
      <c r="I11" s="11">
        <f t="shared" si="1"/>
        <v>-197</v>
      </c>
      <c r="J11" t="str">
        <f t="shared" si="2"/>
        <v/>
      </c>
      <c r="K11" s="20">
        <f t="shared" si="3"/>
        <v>5.6327502617801049</v>
      </c>
    </row>
    <row r="12" spans="1:11" ht="14.25" customHeight="1" x14ac:dyDescent="0.3">
      <c r="A12" s="6">
        <v>45516</v>
      </c>
      <c r="B12" s="7" t="s">
        <v>10</v>
      </c>
      <c r="C12" s="8">
        <v>1534</v>
      </c>
      <c r="D12" s="8">
        <v>200</v>
      </c>
      <c r="E12" s="8">
        <v>307612</v>
      </c>
      <c r="F12" s="7">
        <v>6.01</v>
      </c>
      <c r="G12" s="22">
        <v>37903</v>
      </c>
      <c r="H12" s="20">
        <f t="shared" si="0"/>
        <v>18487.481199999998</v>
      </c>
      <c r="I12" s="10">
        <f t="shared" si="1"/>
        <v>1334</v>
      </c>
      <c r="J12" t="str">
        <f t="shared" si="2"/>
        <v/>
      </c>
      <c r="K12" s="20">
        <f t="shared" si="3"/>
        <v>5.6302384210526304</v>
      </c>
    </row>
    <row r="13" spans="1:11" ht="14.25" customHeight="1" x14ac:dyDescent="0.3">
      <c r="A13" s="6">
        <v>45523</v>
      </c>
      <c r="B13" s="7" t="s">
        <v>10</v>
      </c>
      <c r="C13" s="8">
        <v>1078</v>
      </c>
      <c r="D13" s="8">
        <v>20</v>
      </c>
      <c r="E13" s="8">
        <v>183924</v>
      </c>
      <c r="F13" s="7">
        <v>8.84</v>
      </c>
      <c r="G13" s="22">
        <v>14203</v>
      </c>
      <c r="H13" s="20">
        <f t="shared" si="0"/>
        <v>16258.881599999999</v>
      </c>
      <c r="I13" s="11">
        <f t="shared" si="1"/>
        <v>1058</v>
      </c>
      <c r="J13" t="str">
        <f t="shared" si="2"/>
        <v/>
      </c>
      <c r="K13" s="20">
        <f t="shared" si="3"/>
        <v>5.6282291005290999</v>
      </c>
    </row>
    <row r="14" spans="1:11" ht="14.25" customHeight="1" x14ac:dyDescent="0.3">
      <c r="A14" s="6">
        <v>45530</v>
      </c>
      <c r="B14" s="7" t="s">
        <v>10</v>
      </c>
      <c r="C14" s="8">
        <v>248</v>
      </c>
      <c r="D14" s="8">
        <v>211</v>
      </c>
      <c r="E14" s="8">
        <v>379380</v>
      </c>
      <c r="F14" s="7">
        <v>9.0399999999999991</v>
      </c>
      <c r="G14" s="22">
        <v>26925</v>
      </c>
      <c r="H14" s="20">
        <f t="shared" si="0"/>
        <v>34295.951999999997</v>
      </c>
      <c r="I14" s="10">
        <f t="shared" si="1"/>
        <v>37</v>
      </c>
      <c r="J14" t="str">
        <f t="shared" si="2"/>
        <v/>
      </c>
      <c r="K14" s="20">
        <f t="shared" si="3"/>
        <v>5.6111452127659573</v>
      </c>
    </row>
    <row r="15" spans="1:11" ht="14.25" customHeight="1" x14ac:dyDescent="0.3">
      <c r="A15" s="6">
        <v>45537</v>
      </c>
      <c r="B15" s="7" t="s">
        <v>10</v>
      </c>
      <c r="C15" s="8">
        <v>1520</v>
      </c>
      <c r="D15" s="8">
        <v>475</v>
      </c>
      <c r="E15" s="8">
        <v>496982</v>
      </c>
      <c r="F15" s="7">
        <v>6.41</v>
      </c>
      <c r="G15" s="22">
        <v>24384</v>
      </c>
      <c r="H15" s="20">
        <f t="shared" si="0"/>
        <v>31856.546200000001</v>
      </c>
      <c r="I15" s="11">
        <f t="shared" si="1"/>
        <v>1045</v>
      </c>
      <c r="J15" t="str">
        <f t="shared" si="2"/>
        <v/>
      </c>
      <c r="K15" s="20">
        <f t="shared" si="3"/>
        <v>5.5928090909090908</v>
      </c>
    </row>
    <row r="16" spans="1:11" ht="14.25" customHeight="1" x14ac:dyDescent="0.3">
      <c r="A16" s="6">
        <v>45544</v>
      </c>
      <c r="B16" s="7" t="s">
        <v>10</v>
      </c>
      <c r="C16" s="8">
        <v>1842</v>
      </c>
      <c r="D16" s="8">
        <v>414</v>
      </c>
      <c r="E16" s="8">
        <v>307524</v>
      </c>
      <c r="F16" s="7">
        <v>1.76</v>
      </c>
      <c r="G16" s="22">
        <v>40478</v>
      </c>
      <c r="H16" s="20">
        <f t="shared" si="0"/>
        <v>5412.4223999999995</v>
      </c>
      <c r="I16" s="10">
        <f t="shared" si="1"/>
        <v>1428</v>
      </c>
      <c r="J16" t="str">
        <f t="shared" si="2"/>
        <v/>
      </c>
      <c r="K16" s="20">
        <f t="shared" si="3"/>
        <v>5.5884155913978484</v>
      </c>
    </row>
    <row r="17" spans="1:11" ht="14.25" customHeight="1" x14ac:dyDescent="0.3">
      <c r="A17" s="6">
        <v>45551</v>
      </c>
      <c r="B17" s="7" t="s">
        <v>10</v>
      </c>
      <c r="C17" s="8">
        <v>443</v>
      </c>
      <c r="D17" s="8">
        <v>345</v>
      </c>
      <c r="E17" s="8">
        <v>474162</v>
      </c>
      <c r="F17" s="7">
        <v>9.1999999999999993</v>
      </c>
      <c r="G17" s="22">
        <v>47462</v>
      </c>
      <c r="H17" s="20">
        <f t="shared" si="0"/>
        <v>43622.903999999995</v>
      </c>
      <c r="I17" s="11">
        <f t="shared" si="1"/>
        <v>98</v>
      </c>
      <c r="J17" t="str">
        <f t="shared" si="2"/>
        <v/>
      </c>
      <c r="K17" s="20">
        <f t="shared" si="3"/>
        <v>5.6091097297297292</v>
      </c>
    </row>
    <row r="18" spans="1:11" ht="14.25" customHeight="1" x14ac:dyDescent="0.3">
      <c r="A18" s="6">
        <v>45558</v>
      </c>
      <c r="B18" s="7" t="s">
        <v>10</v>
      </c>
      <c r="C18" s="8">
        <v>198</v>
      </c>
      <c r="D18" s="8">
        <v>217</v>
      </c>
      <c r="E18" s="8">
        <v>239753</v>
      </c>
      <c r="F18" s="7">
        <v>7.36</v>
      </c>
      <c r="G18" s="22">
        <v>11901</v>
      </c>
      <c r="H18" s="20">
        <f t="shared" si="0"/>
        <v>17645.820800000001</v>
      </c>
      <c r="I18" s="10">
        <f t="shared" si="1"/>
        <v>-19</v>
      </c>
      <c r="J18" t="str">
        <f t="shared" si="2"/>
        <v/>
      </c>
      <c r="K18" s="20">
        <f t="shared" si="3"/>
        <v>5.5895940217391322</v>
      </c>
    </row>
    <row r="19" spans="1:11" ht="14.25" customHeight="1" x14ac:dyDescent="0.3">
      <c r="A19" s="6">
        <v>45565</v>
      </c>
      <c r="B19" s="7" t="s">
        <v>10</v>
      </c>
      <c r="C19" s="8">
        <v>250</v>
      </c>
      <c r="D19" s="8">
        <v>429</v>
      </c>
      <c r="E19" s="8">
        <v>453423</v>
      </c>
      <c r="F19" s="7">
        <v>1.77</v>
      </c>
      <c r="G19" s="22">
        <v>2315</v>
      </c>
      <c r="H19" s="20">
        <f t="shared" si="0"/>
        <v>8025.5870999999997</v>
      </c>
      <c r="I19" s="11">
        <f t="shared" si="1"/>
        <v>-179</v>
      </c>
      <c r="J19" t="str">
        <f t="shared" si="2"/>
        <v/>
      </c>
      <c r="K19" s="20">
        <f t="shared" si="3"/>
        <v>5.5799196721311475</v>
      </c>
    </row>
    <row r="20" spans="1:11" ht="14.25" customHeight="1" x14ac:dyDescent="0.3">
      <c r="A20" s="6">
        <v>45572</v>
      </c>
      <c r="B20" s="7" t="s">
        <v>10</v>
      </c>
      <c r="C20" s="8">
        <v>1929</v>
      </c>
      <c r="D20" s="8">
        <v>267</v>
      </c>
      <c r="E20" s="8">
        <v>379363</v>
      </c>
      <c r="F20" s="7">
        <v>1.75</v>
      </c>
      <c r="G20" s="22">
        <v>43836</v>
      </c>
      <c r="H20" s="20">
        <f t="shared" si="0"/>
        <v>6638.8525</v>
      </c>
      <c r="I20" s="10">
        <f t="shared" si="1"/>
        <v>1662</v>
      </c>
      <c r="J20" t="str">
        <f t="shared" si="2"/>
        <v>FestiveRadiance</v>
      </c>
      <c r="K20" s="20">
        <f t="shared" si="3"/>
        <v>5.6008532967032973</v>
      </c>
    </row>
    <row r="21" spans="1:11" ht="14.25" customHeight="1" x14ac:dyDescent="0.3">
      <c r="A21" s="6">
        <v>45579</v>
      </c>
      <c r="B21" s="7" t="s">
        <v>10</v>
      </c>
      <c r="C21" s="8">
        <v>643</v>
      </c>
      <c r="D21" s="8">
        <v>358</v>
      </c>
      <c r="E21" s="8">
        <v>157599</v>
      </c>
      <c r="F21" s="7">
        <v>3.88</v>
      </c>
      <c r="G21" s="22">
        <v>7285</v>
      </c>
      <c r="H21" s="20">
        <f t="shared" si="0"/>
        <v>6114.8411999999998</v>
      </c>
      <c r="I21" s="11">
        <f t="shared" si="1"/>
        <v>285</v>
      </c>
      <c r="J21" t="str">
        <f t="shared" si="2"/>
        <v>FestiveRadiance</v>
      </c>
      <c r="K21" s="20">
        <f t="shared" si="3"/>
        <v>5.6221287292817692</v>
      </c>
    </row>
    <row r="22" spans="1:11" ht="14.25" customHeight="1" x14ac:dyDescent="0.3">
      <c r="A22" s="6">
        <v>45586</v>
      </c>
      <c r="B22" s="7" t="s">
        <v>10</v>
      </c>
      <c r="C22" s="8">
        <v>508</v>
      </c>
      <c r="D22" s="8">
        <v>69</v>
      </c>
      <c r="E22" s="8">
        <v>23492</v>
      </c>
      <c r="F22" s="7">
        <v>3.16</v>
      </c>
      <c r="G22" s="22">
        <v>42824</v>
      </c>
      <c r="H22" s="20">
        <f t="shared" si="0"/>
        <v>742.34720000000004</v>
      </c>
      <c r="I22" s="10">
        <f t="shared" si="1"/>
        <v>439</v>
      </c>
      <c r="J22" t="str">
        <f t="shared" si="2"/>
        <v>FestiveRadiance</v>
      </c>
      <c r="K22" s="20">
        <f t="shared" si="3"/>
        <v>5.6318072222222222</v>
      </c>
    </row>
    <row r="23" spans="1:11" ht="14.25" customHeight="1" x14ac:dyDescent="0.3">
      <c r="A23" s="6">
        <v>45593</v>
      </c>
      <c r="B23" s="7" t="s">
        <v>10</v>
      </c>
      <c r="C23" s="8">
        <v>859</v>
      </c>
      <c r="D23" s="8">
        <v>473</v>
      </c>
      <c r="E23" s="8">
        <v>209987</v>
      </c>
      <c r="F23" s="7">
        <v>4.46</v>
      </c>
      <c r="G23" s="22">
        <v>30214</v>
      </c>
      <c r="H23" s="20">
        <f t="shared" si="0"/>
        <v>9365.4202000000005</v>
      </c>
      <c r="I23" s="11">
        <f t="shared" si="1"/>
        <v>386</v>
      </c>
      <c r="J23" t="str">
        <f t="shared" si="2"/>
        <v>FestiveRadiance</v>
      </c>
      <c r="K23" s="20">
        <f t="shared" si="3"/>
        <v>5.6456162011173188</v>
      </c>
    </row>
    <row r="24" spans="1:11" ht="14.25" customHeight="1" x14ac:dyDescent="0.3">
      <c r="A24" s="6">
        <v>45600</v>
      </c>
      <c r="B24" s="7" t="s">
        <v>10</v>
      </c>
      <c r="C24" s="8">
        <v>947</v>
      </c>
      <c r="D24" s="8">
        <v>407</v>
      </c>
      <c r="E24" s="8">
        <v>319186</v>
      </c>
      <c r="F24" s="7">
        <v>3.32</v>
      </c>
      <c r="G24" s="22">
        <v>4996</v>
      </c>
      <c r="H24" s="20">
        <f t="shared" si="0"/>
        <v>10596.975200000001</v>
      </c>
      <c r="I24" s="10">
        <f t="shared" si="1"/>
        <v>540</v>
      </c>
      <c r="J24" t="str">
        <f t="shared" si="2"/>
        <v/>
      </c>
      <c r="K24" s="20">
        <f t="shared" si="3"/>
        <v>5.6522769662921357</v>
      </c>
    </row>
    <row r="25" spans="1:11" ht="14.25" customHeight="1" x14ac:dyDescent="0.3">
      <c r="A25" s="6">
        <v>45607</v>
      </c>
      <c r="B25" s="7" t="s">
        <v>10</v>
      </c>
      <c r="C25" s="8">
        <v>171</v>
      </c>
      <c r="D25" s="8">
        <v>277</v>
      </c>
      <c r="E25" s="8">
        <v>309483</v>
      </c>
      <c r="F25" s="7">
        <v>8.6999999999999993</v>
      </c>
      <c r="G25" s="22">
        <v>38452</v>
      </c>
      <c r="H25" s="20">
        <f t="shared" si="0"/>
        <v>26925.020999999997</v>
      </c>
      <c r="I25" s="11">
        <f t="shared" si="1"/>
        <v>-106</v>
      </c>
      <c r="J25" t="str">
        <f t="shared" si="2"/>
        <v/>
      </c>
      <c r="K25" s="20">
        <f t="shared" si="3"/>
        <v>5.6654536723163851</v>
      </c>
    </row>
    <row r="26" spans="1:11" ht="14.25" customHeight="1" x14ac:dyDescent="0.3">
      <c r="A26" s="6">
        <v>45614</v>
      </c>
      <c r="B26" s="7" t="s">
        <v>10</v>
      </c>
      <c r="C26" s="8">
        <v>513</v>
      </c>
      <c r="D26" s="8">
        <v>441</v>
      </c>
      <c r="E26" s="8">
        <v>338847</v>
      </c>
      <c r="F26" s="7">
        <v>2.68</v>
      </c>
      <c r="G26" s="22">
        <v>39997</v>
      </c>
      <c r="H26" s="20">
        <f t="shared" si="0"/>
        <v>9081.0996000000014</v>
      </c>
      <c r="I26" s="10">
        <f t="shared" si="1"/>
        <v>72</v>
      </c>
      <c r="J26" t="str">
        <f t="shared" si="2"/>
        <v/>
      </c>
      <c r="K26" s="20">
        <f t="shared" si="3"/>
        <v>5.6482119318181825</v>
      </c>
    </row>
    <row r="27" spans="1:11" ht="14.25" customHeight="1" x14ac:dyDescent="0.3">
      <c r="A27" s="6">
        <v>45621</v>
      </c>
      <c r="B27" s="7" t="s">
        <v>10</v>
      </c>
      <c r="C27" s="8">
        <v>1710</v>
      </c>
      <c r="D27" s="8">
        <v>378</v>
      </c>
      <c r="E27" s="8">
        <v>336661</v>
      </c>
      <c r="F27" s="7">
        <v>6.2</v>
      </c>
      <c r="G27" s="22">
        <v>28498</v>
      </c>
      <c r="H27" s="20">
        <f t="shared" si="0"/>
        <v>20872.982</v>
      </c>
      <c r="I27" s="11">
        <f t="shared" si="1"/>
        <v>1332</v>
      </c>
      <c r="J27" t="str">
        <f t="shared" si="2"/>
        <v/>
      </c>
      <c r="K27" s="20">
        <f t="shared" si="3"/>
        <v>5.6651731428571441</v>
      </c>
    </row>
    <row r="28" spans="1:11" ht="14.25" customHeight="1" x14ac:dyDescent="0.3">
      <c r="A28" s="6">
        <v>45628</v>
      </c>
      <c r="B28" s="7" t="s">
        <v>10</v>
      </c>
      <c r="C28" s="8">
        <v>1902</v>
      </c>
      <c r="D28" s="8">
        <v>196</v>
      </c>
      <c r="E28" s="8">
        <v>470269</v>
      </c>
      <c r="F28" s="7">
        <v>4.79</v>
      </c>
      <c r="G28" s="22">
        <v>26103</v>
      </c>
      <c r="H28" s="20">
        <f t="shared" si="0"/>
        <v>22525.885100000003</v>
      </c>
      <c r="I28" s="10">
        <f t="shared" si="1"/>
        <v>1706</v>
      </c>
      <c r="J28" t="str">
        <f t="shared" si="2"/>
        <v/>
      </c>
      <c r="K28" s="20">
        <f t="shared" si="3"/>
        <v>5.6620994252873578</v>
      </c>
    </row>
    <row r="29" spans="1:11" ht="14.25" customHeight="1" x14ac:dyDescent="0.3">
      <c r="A29" s="6">
        <v>45635</v>
      </c>
      <c r="B29" s="7" t="s">
        <v>10</v>
      </c>
      <c r="C29" s="8">
        <v>1514</v>
      </c>
      <c r="D29" s="8">
        <v>141</v>
      </c>
      <c r="E29" s="8">
        <v>35842</v>
      </c>
      <c r="F29" s="7">
        <v>7.47</v>
      </c>
      <c r="G29" s="22">
        <v>18601</v>
      </c>
      <c r="H29" s="20">
        <f t="shared" si="0"/>
        <v>2677.3973999999998</v>
      </c>
      <c r="I29" s="11">
        <f t="shared" si="1"/>
        <v>1373</v>
      </c>
      <c r="J29" t="str">
        <f t="shared" si="2"/>
        <v/>
      </c>
      <c r="K29" s="20">
        <f t="shared" si="3"/>
        <v>5.6671404624277466</v>
      </c>
    </row>
    <row r="30" spans="1:11" ht="14.25" customHeight="1" x14ac:dyDescent="0.3">
      <c r="A30" s="6">
        <v>45642</v>
      </c>
      <c r="B30" s="7" t="s">
        <v>10</v>
      </c>
      <c r="C30" s="8">
        <v>1623</v>
      </c>
      <c r="D30" s="8">
        <v>246</v>
      </c>
      <c r="E30" s="8">
        <v>415815</v>
      </c>
      <c r="F30" s="7">
        <v>8.11</v>
      </c>
      <c r="G30" s="22">
        <v>18656</v>
      </c>
      <c r="H30" s="20">
        <f t="shared" si="0"/>
        <v>33722.5965</v>
      </c>
      <c r="I30" s="10">
        <f t="shared" si="1"/>
        <v>1377</v>
      </c>
      <c r="J30" t="str">
        <f t="shared" si="2"/>
        <v/>
      </c>
      <c r="K30" s="20">
        <f t="shared" si="3"/>
        <v>5.6566587209302348</v>
      </c>
    </row>
    <row r="31" spans="1:11" ht="14.25" customHeight="1" x14ac:dyDescent="0.3">
      <c r="A31" s="6">
        <v>45649</v>
      </c>
      <c r="B31" s="7" t="s">
        <v>10</v>
      </c>
      <c r="C31" s="8">
        <v>1155</v>
      </c>
      <c r="D31" s="8">
        <v>425</v>
      </c>
      <c r="E31" s="8">
        <v>93347</v>
      </c>
      <c r="F31" s="7">
        <v>2.02</v>
      </c>
      <c r="G31" s="22">
        <v>47502</v>
      </c>
      <c r="H31" s="20">
        <f t="shared" si="0"/>
        <v>1885.6094000000001</v>
      </c>
      <c r="I31" s="11">
        <f t="shared" si="1"/>
        <v>730</v>
      </c>
      <c r="J31" t="str">
        <f t="shared" si="2"/>
        <v/>
      </c>
      <c r="K31" s="20">
        <f t="shared" si="3"/>
        <v>5.6423116959064341</v>
      </c>
    </row>
    <row r="32" spans="1:11" ht="14.25" customHeight="1" x14ac:dyDescent="0.3">
      <c r="A32" s="6">
        <v>45656</v>
      </c>
      <c r="B32" s="7" t="s">
        <v>10</v>
      </c>
      <c r="C32" s="8">
        <v>1980</v>
      </c>
      <c r="D32" s="8">
        <v>204</v>
      </c>
      <c r="E32" s="8">
        <v>379431</v>
      </c>
      <c r="F32" s="7">
        <v>3.09</v>
      </c>
      <c r="G32" s="22">
        <v>25140</v>
      </c>
      <c r="H32" s="20">
        <f t="shared" si="0"/>
        <v>11724.4179</v>
      </c>
      <c r="I32" s="10">
        <f t="shared" si="1"/>
        <v>1776</v>
      </c>
      <c r="J32" t="str">
        <f t="shared" si="2"/>
        <v>NewYearRefresh</v>
      </c>
      <c r="K32" s="20">
        <f t="shared" si="3"/>
        <v>5.6636194117647074</v>
      </c>
    </row>
    <row r="33" spans="1:11" ht="14.25" customHeight="1" x14ac:dyDescent="0.3">
      <c r="A33" s="6">
        <v>45663</v>
      </c>
      <c r="B33" s="7" t="s">
        <v>10</v>
      </c>
      <c r="C33" s="8">
        <v>816</v>
      </c>
      <c r="D33" s="8">
        <v>196</v>
      </c>
      <c r="E33" s="8">
        <v>95728</v>
      </c>
      <c r="F33" s="7">
        <v>8.1999999999999993</v>
      </c>
      <c r="G33" s="22">
        <v>17951</v>
      </c>
      <c r="H33" s="20">
        <f t="shared" si="0"/>
        <v>7849.6959999999999</v>
      </c>
      <c r="I33" s="11">
        <f t="shared" si="1"/>
        <v>620</v>
      </c>
      <c r="J33" t="str">
        <f t="shared" si="2"/>
        <v>NewYearRefresh</v>
      </c>
      <c r="K33" s="20">
        <f t="shared" si="3"/>
        <v>5.6788479289940836</v>
      </c>
    </row>
    <row r="34" spans="1:11" ht="14.25" customHeight="1" x14ac:dyDescent="0.3">
      <c r="A34" s="6">
        <v>45670</v>
      </c>
      <c r="B34" s="7" t="s">
        <v>10</v>
      </c>
      <c r="C34" s="8">
        <v>651</v>
      </c>
      <c r="D34" s="8">
        <v>353</v>
      </c>
      <c r="E34" s="8">
        <v>224699</v>
      </c>
      <c r="F34" s="7">
        <v>5.61</v>
      </c>
      <c r="G34" s="22">
        <v>45708</v>
      </c>
      <c r="H34" s="20">
        <f t="shared" ref="H34:H65" si="4">E34 * F34 / 100</f>
        <v>12605.613900000002</v>
      </c>
      <c r="I34" s="10">
        <f t="shared" ref="I34:I65" si="5" xml:space="preserve"> C34 - D34</f>
        <v>298</v>
      </c>
      <c r="J34" t="str">
        <f t="shared" ref="J34:J65" si="6">IF(AND(A34&gt;=DATE(2024,6,15), A34&lt;=DATE(2024,7,15)), "SummerSplash",
 IF(AND(A34&gt;=DATE(2024,10,1), A34&lt;=DATE(2024,10,31)), "FestiveRadiance",
 IF(AND(A34&gt;=DATE(2024,12,25), A34&lt;=DATE(2025,1,10)), "NewYearRefresh",
 IF(AND(A34&gt;=DATE(2025,3,1), A34&lt;=DATE(2025,3,31)), "DailyWellness", ""))))</f>
        <v/>
      </c>
      <c r="K34" s="20">
        <f t="shared" ref="K34:K65" si="7">AVERAGE(F34:F233)</f>
        <v>5.6638410714285721</v>
      </c>
    </row>
    <row r="35" spans="1:11" ht="14.25" customHeight="1" x14ac:dyDescent="0.3">
      <c r="A35" s="6">
        <v>45677</v>
      </c>
      <c r="B35" s="7" t="s">
        <v>10</v>
      </c>
      <c r="C35" s="8">
        <v>663</v>
      </c>
      <c r="D35" s="8">
        <v>236</v>
      </c>
      <c r="E35" s="8">
        <v>479490</v>
      </c>
      <c r="F35" s="7">
        <v>4.51</v>
      </c>
      <c r="G35" s="22">
        <v>23853</v>
      </c>
      <c r="H35" s="20">
        <f t="shared" si="4"/>
        <v>21624.999</v>
      </c>
      <c r="I35" s="11">
        <f t="shared" si="5"/>
        <v>427</v>
      </c>
      <c r="J35" t="str">
        <f t="shared" si="6"/>
        <v/>
      </c>
      <c r="K35" s="20">
        <f t="shared" si="7"/>
        <v>5.6641634730538932</v>
      </c>
    </row>
    <row r="36" spans="1:11" ht="14.25" customHeight="1" x14ac:dyDescent="0.3">
      <c r="A36" s="6">
        <v>45684</v>
      </c>
      <c r="B36" s="7" t="s">
        <v>10</v>
      </c>
      <c r="C36" s="8">
        <v>1249</v>
      </c>
      <c r="D36" s="8">
        <v>351</v>
      </c>
      <c r="E36" s="8">
        <v>321307</v>
      </c>
      <c r="F36" s="7">
        <v>6.37</v>
      </c>
      <c r="G36" s="22">
        <v>20560</v>
      </c>
      <c r="H36" s="20">
        <f t="shared" si="4"/>
        <v>20467.2559</v>
      </c>
      <c r="I36" s="10">
        <f t="shared" si="5"/>
        <v>898</v>
      </c>
      <c r="J36" t="str">
        <f t="shared" si="6"/>
        <v/>
      </c>
      <c r="K36" s="20">
        <f t="shared" si="7"/>
        <v>5.6711162650602418</v>
      </c>
    </row>
    <row r="37" spans="1:11" ht="14.25" customHeight="1" x14ac:dyDescent="0.3">
      <c r="A37" s="6">
        <v>45691</v>
      </c>
      <c r="B37" s="7" t="s">
        <v>10</v>
      </c>
      <c r="C37" s="8">
        <v>1159</v>
      </c>
      <c r="D37" s="8">
        <v>411</v>
      </c>
      <c r="E37" s="8">
        <v>135987</v>
      </c>
      <c r="F37" s="7">
        <v>8.6999999999999993</v>
      </c>
      <c r="G37" s="22">
        <v>40323</v>
      </c>
      <c r="H37" s="20">
        <f t="shared" si="4"/>
        <v>11830.868999999999</v>
      </c>
      <c r="I37" s="11">
        <f t="shared" si="5"/>
        <v>748</v>
      </c>
      <c r="J37" t="str">
        <f t="shared" si="6"/>
        <v/>
      </c>
      <c r="K37" s="20">
        <f t="shared" si="7"/>
        <v>5.6668806060606061</v>
      </c>
    </row>
    <row r="38" spans="1:11" ht="14.25" customHeight="1" x14ac:dyDescent="0.3">
      <c r="A38" s="6">
        <v>45698</v>
      </c>
      <c r="B38" s="7" t="s">
        <v>10</v>
      </c>
      <c r="C38" s="8">
        <v>1294</v>
      </c>
      <c r="D38" s="8">
        <v>382</v>
      </c>
      <c r="E38" s="8">
        <v>309914</v>
      </c>
      <c r="F38" s="7">
        <v>8.0299999999999994</v>
      </c>
      <c r="G38" s="22">
        <v>23489</v>
      </c>
      <c r="H38" s="20">
        <f t="shared" si="4"/>
        <v>24886.0942</v>
      </c>
      <c r="I38" s="10">
        <f t="shared" si="5"/>
        <v>912</v>
      </c>
      <c r="J38" t="str">
        <f t="shared" si="6"/>
        <v/>
      </c>
      <c r="K38" s="20">
        <f t="shared" si="7"/>
        <v>5.6483859756097567</v>
      </c>
    </row>
    <row r="39" spans="1:11" ht="14.25" customHeight="1" x14ac:dyDescent="0.3">
      <c r="A39" s="6">
        <v>45705</v>
      </c>
      <c r="B39" s="7" t="s">
        <v>10</v>
      </c>
      <c r="C39" s="8">
        <v>1895</v>
      </c>
      <c r="D39" s="8">
        <v>305</v>
      </c>
      <c r="E39" s="8">
        <v>104967</v>
      </c>
      <c r="F39" s="7">
        <v>3.85</v>
      </c>
      <c r="G39" s="22">
        <v>31853</v>
      </c>
      <c r="H39" s="20">
        <f t="shared" si="4"/>
        <v>4041.2294999999999</v>
      </c>
      <c r="I39" s="11">
        <f t="shared" si="5"/>
        <v>1590</v>
      </c>
      <c r="J39" t="str">
        <f t="shared" si="6"/>
        <v/>
      </c>
      <c r="K39" s="20">
        <f t="shared" si="7"/>
        <v>5.6337748466257667</v>
      </c>
    </row>
    <row r="40" spans="1:11" ht="14.25" customHeight="1" x14ac:dyDescent="0.3">
      <c r="A40" s="6">
        <v>45712</v>
      </c>
      <c r="B40" s="7" t="s">
        <v>10</v>
      </c>
      <c r="C40" s="8">
        <v>1884</v>
      </c>
      <c r="D40" s="8">
        <v>177</v>
      </c>
      <c r="E40" s="8">
        <v>230448</v>
      </c>
      <c r="F40" s="7">
        <v>7.8</v>
      </c>
      <c r="G40" s="22">
        <v>22713</v>
      </c>
      <c r="H40" s="20">
        <f t="shared" si="4"/>
        <v>17974.944</v>
      </c>
      <c r="I40" s="10">
        <f t="shared" si="5"/>
        <v>1707</v>
      </c>
      <c r="J40" t="str">
        <f t="shared" si="6"/>
        <v/>
      </c>
      <c r="K40" s="20">
        <f t="shared" si="7"/>
        <v>5.6447858024691353</v>
      </c>
    </row>
    <row r="41" spans="1:11" ht="14.25" customHeight="1" x14ac:dyDescent="0.3">
      <c r="A41" s="6">
        <v>45719</v>
      </c>
      <c r="B41" s="7" t="s">
        <v>10</v>
      </c>
      <c r="C41" s="8">
        <v>345</v>
      </c>
      <c r="D41" s="8">
        <v>464</v>
      </c>
      <c r="E41" s="8">
        <v>366881</v>
      </c>
      <c r="F41" s="7">
        <v>4.55</v>
      </c>
      <c r="G41" s="22">
        <v>20553</v>
      </c>
      <c r="H41" s="20">
        <f t="shared" si="4"/>
        <v>16693.085500000001</v>
      </c>
      <c r="I41" s="11">
        <f t="shared" si="5"/>
        <v>-119</v>
      </c>
      <c r="J41" t="str">
        <f t="shared" si="6"/>
        <v>DailyWellness</v>
      </c>
      <c r="K41" s="20">
        <f t="shared" si="7"/>
        <v>5.6313993788819872</v>
      </c>
    </row>
    <row r="42" spans="1:11" ht="14.25" customHeight="1" x14ac:dyDescent="0.3">
      <c r="A42" s="6">
        <v>45726</v>
      </c>
      <c r="B42" s="7" t="s">
        <v>10</v>
      </c>
      <c r="C42" s="8">
        <v>1098</v>
      </c>
      <c r="D42" s="8">
        <v>190</v>
      </c>
      <c r="E42" s="8">
        <v>340842</v>
      </c>
      <c r="F42" s="7">
        <v>9.39</v>
      </c>
      <c r="G42" s="22">
        <v>21539</v>
      </c>
      <c r="H42" s="20">
        <f t="shared" si="4"/>
        <v>32005.063800000004</v>
      </c>
      <c r="I42" s="10">
        <f t="shared" si="5"/>
        <v>908</v>
      </c>
      <c r="J42" t="str">
        <f t="shared" si="6"/>
        <v>DailyWellness</v>
      </c>
      <c r="K42" s="20">
        <f t="shared" si="7"/>
        <v>5.6381581249999986</v>
      </c>
    </row>
    <row r="43" spans="1:11" ht="14.25" customHeight="1" x14ac:dyDescent="0.3">
      <c r="A43" s="6">
        <v>45733</v>
      </c>
      <c r="B43" s="7" t="s">
        <v>10</v>
      </c>
      <c r="C43" s="8">
        <v>1358</v>
      </c>
      <c r="D43" s="8">
        <v>242</v>
      </c>
      <c r="E43" s="8">
        <v>342129</v>
      </c>
      <c r="F43" s="7">
        <v>4.9400000000000004</v>
      </c>
      <c r="G43" s="22">
        <v>29116</v>
      </c>
      <c r="H43" s="20">
        <f t="shared" si="4"/>
        <v>16901.172600000002</v>
      </c>
      <c r="I43" s="11">
        <f t="shared" si="5"/>
        <v>1116</v>
      </c>
      <c r="J43" t="str">
        <f t="shared" si="6"/>
        <v>DailyWellness</v>
      </c>
      <c r="K43" s="20">
        <f t="shared" si="7"/>
        <v>5.6145616352201246</v>
      </c>
    </row>
    <row r="44" spans="1:11" ht="14.25" customHeight="1" x14ac:dyDescent="0.3">
      <c r="A44" s="6">
        <v>45740</v>
      </c>
      <c r="B44" s="7" t="s">
        <v>10</v>
      </c>
      <c r="C44" s="8">
        <v>609</v>
      </c>
      <c r="D44" s="8">
        <v>135</v>
      </c>
      <c r="E44" s="8">
        <v>373606</v>
      </c>
      <c r="F44" s="7">
        <v>8.52</v>
      </c>
      <c r="G44" s="22">
        <v>21453</v>
      </c>
      <c r="H44" s="20">
        <f t="shared" si="4"/>
        <v>31831.231199999995</v>
      </c>
      <c r="I44" s="10">
        <f t="shared" si="5"/>
        <v>474</v>
      </c>
      <c r="J44" t="str">
        <f t="shared" si="6"/>
        <v>DailyWellness</v>
      </c>
      <c r="K44" s="20">
        <f t="shared" si="7"/>
        <v>5.6188310126582266</v>
      </c>
    </row>
    <row r="45" spans="1:11" ht="14.25" customHeight="1" x14ac:dyDescent="0.3">
      <c r="A45" s="6">
        <v>45747</v>
      </c>
      <c r="B45" s="7" t="s">
        <v>10</v>
      </c>
      <c r="C45" s="8">
        <v>988</v>
      </c>
      <c r="D45" s="8">
        <v>474</v>
      </c>
      <c r="E45" s="8">
        <v>370070</v>
      </c>
      <c r="F45" s="7">
        <v>9.4600000000000009</v>
      </c>
      <c r="G45" s="22">
        <v>23461</v>
      </c>
      <c r="H45" s="20">
        <f t="shared" si="4"/>
        <v>35008.622000000003</v>
      </c>
      <c r="I45" s="11">
        <f t="shared" si="5"/>
        <v>514</v>
      </c>
      <c r="J45" t="str">
        <f t="shared" si="6"/>
        <v>DailyWellness</v>
      </c>
      <c r="K45" s="20">
        <f t="shared" si="7"/>
        <v>5.6003522292993626</v>
      </c>
    </row>
    <row r="46" spans="1:11" ht="14.25" customHeight="1" x14ac:dyDescent="0.3">
      <c r="A46" s="6">
        <v>45754</v>
      </c>
      <c r="B46" s="7" t="s">
        <v>10</v>
      </c>
      <c r="C46" s="8">
        <v>1307</v>
      </c>
      <c r="D46" s="8">
        <v>278</v>
      </c>
      <c r="E46" s="8">
        <v>98596</v>
      </c>
      <c r="F46" s="7">
        <v>2.4900000000000002</v>
      </c>
      <c r="G46" s="22">
        <v>47603</v>
      </c>
      <c r="H46" s="20">
        <f t="shared" si="4"/>
        <v>2455.0403999999999</v>
      </c>
      <c r="I46" s="10">
        <f t="shared" si="5"/>
        <v>1029</v>
      </c>
      <c r="J46" t="str">
        <f t="shared" si="6"/>
        <v/>
      </c>
      <c r="K46" s="20">
        <f t="shared" si="7"/>
        <v>5.5756108974358973</v>
      </c>
    </row>
    <row r="47" spans="1:11" ht="14.25" customHeight="1" x14ac:dyDescent="0.3">
      <c r="A47" s="6">
        <v>45761</v>
      </c>
      <c r="B47" s="7" t="s">
        <v>10</v>
      </c>
      <c r="C47" s="8">
        <v>198</v>
      </c>
      <c r="D47" s="8">
        <v>373</v>
      </c>
      <c r="E47" s="8">
        <v>70707</v>
      </c>
      <c r="F47" s="7">
        <v>4.83</v>
      </c>
      <c r="G47" s="22">
        <v>25920</v>
      </c>
      <c r="H47" s="20">
        <f t="shared" si="4"/>
        <v>3415.1480999999999</v>
      </c>
      <c r="I47" s="11">
        <f t="shared" si="5"/>
        <v>-175</v>
      </c>
      <c r="J47" t="str">
        <f t="shared" si="6"/>
        <v/>
      </c>
      <c r="K47" s="20">
        <f t="shared" si="7"/>
        <v>5.5955180645161287</v>
      </c>
    </row>
    <row r="48" spans="1:11" ht="14.25" customHeight="1" x14ac:dyDescent="0.3">
      <c r="A48" s="6">
        <v>45768</v>
      </c>
      <c r="B48" s="7" t="s">
        <v>10</v>
      </c>
      <c r="C48" s="8">
        <v>1375</v>
      </c>
      <c r="D48" s="8">
        <v>330</v>
      </c>
      <c r="E48" s="8">
        <v>377382</v>
      </c>
      <c r="F48" s="7">
        <v>2.6</v>
      </c>
      <c r="G48" s="22">
        <v>7875</v>
      </c>
      <c r="H48" s="20">
        <f t="shared" si="4"/>
        <v>9811.9320000000007</v>
      </c>
      <c r="I48" s="10">
        <f t="shared" si="5"/>
        <v>1045</v>
      </c>
      <c r="J48" t="str">
        <f t="shared" si="6"/>
        <v/>
      </c>
      <c r="K48" s="20">
        <f t="shared" si="7"/>
        <v>5.6004889610389599</v>
      </c>
    </row>
    <row r="49" spans="1:11" ht="14.25" customHeight="1" x14ac:dyDescent="0.3">
      <c r="A49" s="6">
        <v>45775</v>
      </c>
      <c r="B49" s="7" t="s">
        <v>10</v>
      </c>
      <c r="C49" s="8">
        <v>833</v>
      </c>
      <c r="D49" s="8">
        <v>380</v>
      </c>
      <c r="E49" s="8">
        <v>224830</v>
      </c>
      <c r="F49" s="7">
        <v>3.86</v>
      </c>
      <c r="G49" s="22">
        <v>3582</v>
      </c>
      <c r="H49" s="20">
        <f t="shared" si="4"/>
        <v>8678.4380000000001</v>
      </c>
      <c r="I49" s="11">
        <f t="shared" si="5"/>
        <v>453</v>
      </c>
      <c r="J49" t="str">
        <f t="shared" si="6"/>
        <v/>
      </c>
      <c r="K49" s="20">
        <f t="shared" si="7"/>
        <v>5.620099999999999</v>
      </c>
    </row>
    <row r="50" spans="1:11" ht="14.25" customHeight="1" x14ac:dyDescent="0.3">
      <c r="A50" s="6">
        <v>45782</v>
      </c>
      <c r="B50" s="7" t="s">
        <v>10</v>
      </c>
      <c r="C50" s="8">
        <v>405</v>
      </c>
      <c r="D50" s="8">
        <v>66</v>
      </c>
      <c r="E50" s="8">
        <v>418696</v>
      </c>
      <c r="F50" s="7">
        <v>5.59</v>
      </c>
      <c r="G50" s="22">
        <v>48419</v>
      </c>
      <c r="H50" s="20">
        <f t="shared" si="4"/>
        <v>23405.106400000001</v>
      </c>
      <c r="I50" s="10">
        <f t="shared" si="5"/>
        <v>339</v>
      </c>
      <c r="J50" t="str">
        <f t="shared" si="6"/>
        <v/>
      </c>
      <c r="K50" s="20">
        <f t="shared" si="7"/>
        <v>5.6316796052631561</v>
      </c>
    </row>
    <row r="51" spans="1:11" ht="14.25" customHeight="1" x14ac:dyDescent="0.3">
      <c r="A51" s="6">
        <v>45789</v>
      </c>
      <c r="B51" s="7" t="s">
        <v>10</v>
      </c>
      <c r="C51" s="8">
        <v>837</v>
      </c>
      <c r="D51" s="8">
        <v>430</v>
      </c>
      <c r="E51" s="8">
        <v>364820</v>
      </c>
      <c r="F51" s="7">
        <v>4</v>
      </c>
      <c r="G51" s="22">
        <v>49400</v>
      </c>
      <c r="H51" s="20">
        <f t="shared" si="4"/>
        <v>14592.8</v>
      </c>
      <c r="I51" s="11">
        <f t="shared" si="5"/>
        <v>407</v>
      </c>
      <c r="J51" t="str">
        <f t="shared" si="6"/>
        <v/>
      </c>
      <c r="K51" s="20">
        <f t="shared" si="7"/>
        <v>5.6319556291390729</v>
      </c>
    </row>
    <row r="52" spans="1:11" ht="14.25" customHeight="1" x14ac:dyDescent="0.3">
      <c r="A52" s="6">
        <v>45446</v>
      </c>
      <c r="B52" s="7" t="s">
        <v>11</v>
      </c>
      <c r="C52" s="8">
        <v>1135</v>
      </c>
      <c r="D52" s="8">
        <v>88</v>
      </c>
      <c r="E52" s="8">
        <v>344084</v>
      </c>
      <c r="F52" s="7">
        <v>8.06</v>
      </c>
      <c r="G52" s="22">
        <v>5904</v>
      </c>
      <c r="H52" s="20">
        <f t="shared" si="4"/>
        <v>27733.170399999999</v>
      </c>
      <c r="I52" s="10">
        <f t="shared" si="5"/>
        <v>1047</v>
      </c>
      <c r="J52" t="str">
        <f t="shared" si="6"/>
        <v/>
      </c>
      <c r="K52" s="20">
        <f t="shared" si="7"/>
        <v>5.6428353333333332</v>
      </c>
    </row>
    <row r="53" spans="1:11" ht="14.25" customHeight="1" x14ac:dyDescent="0.3">
      <c r="A53" s="6">
        <v>45453</v>
      </c>
      <c r="B53" s="7" t="s">
        <v>11</v>
      </c>
      <c r="C53" s="8">
        <v>656</v>
      </c>
      <c r="D53" s="8">
        <v>139</v>
      </c>
      <c r="E53" s="8">
        <v>49157</v>
      </c>
      <c r="F53" s="7">
        <v>9.0500000000000007</v>
      </c>
      <c r="G53" s="22">
        <v>9920</v>
      </c>
      <c r="H53" s="20">
        <f t="shared" si="4"/>
        <v>4448.7085000000006</v>
      </c>
      <c r="I53" s="11">
        <f t="shared" si="5"/>
        <v>517</v>
      </c>
      <c r="J53" t="str">
        <f t="shared" si="6"/>
        <v/>
      </c>
      <c r="K53" s="20">
        <f t="shared" si="7"/>
        <v>5.6266127516778521</v>
      </c>
    </row>
    <row r="54" spans="1:11" ht="14.25" customHeight="1" x14ac:dyDescent="0.3">
      <c r="A54" s="6">
        <v>45460</v>
      </c>
      <c r="B54" s="7" t="s">
        <v>11</v>
      </c>
      <c r="C54" s="8">
        <v>1048</v>
      </c>
      <c r="D54" s="8">
        <v>155</v>
      </c>
      <c r="E54" s="8">
        <v>456946</v>
      </c>
      <c r="F54" s="7">
        <v>2.46</v>
      </c>
      <c r="G54" s="22">
        <v>11329</v>
      </c>
      <c r="H54" s="20">
        <f t="shared" si="4"/>
        <v>11240.871599999999</v>
      </c>
      <c r="I54" s="10">
        <f t="shared" si="5"/>
        <v>893</v>
      </c>
      <c r="J54" t="str">
        <f t="shared" si="6"/>
        <v>SummerSplash</v>
      </c>
      <c r="K54" s="20">
        <f t="shared" si="7"/>
        <v>5.6034817567567563</v>
      </c>
    </row>
    <row r="55" spans="1:11" ht="14.25" customHeight="1" x14ac:dyDescent="0.3">
      <c r="A55" s="6">
        <v>45467</v>
      </c>
      <c r="B55" s="7" t="s">
        <v>11</v>
      </c>
      <c r="C55" s="8">
        <v>911</v>
      </c>
      <c r="D55" s="8">
        <v>282</v>
      </c>
      <c r="E55" s="8">
        <v>35664</v>
      </c>
      <c r="F55" s="7">
        <v>6.92</v>
      </c>
      <c r="G55" s="22">
        <v>18050</v>
      </c>
      <c r="H55" s="20">
        <f t="shared" si="4"/>
        <v>2467.9488000000001</v>
      </c>
      <c r="I55" s="11">
        <f t="shared" si="5"/>
        <v>629</v>
      </c>
      <c r="J55" t="str">
        <f t="shared" si="6"/>
        <v>SummerSplash</v>
      </c>
      <c r="K55" s="20">
        <f t="shared" si="7"/>
        <v>5.6248659863945578</v>
      </c>
    </row>
    <row r="56" spans="1:11" ht="14.25" customHeight="1" x14ac:dyDescent="0.3">
      <c r="A56" s="6">
        <v>45474</v>
      </c>
      <c r="B56" s="7" t="s">
        <v>11</v>
      </c>
      <c r="C56" s="8">
        <v>226</v>
      </c>
      <c r="D56" s="8">
        <v>445</v>
      </c>
      <c r="E56" s="8">
        <v>419447</v>
      </c>
      <c r="F56" s="7">
        <v>9.36</v>
      </c>
      <c r="G56" s="22">
        <v>9566</v>
      </c>
      <c r="H56" s="20">
        <f t="shared" si="4"/>
        <v>39260.239199999996</v>
      </c>
      <c r="I56" s="10">
        <f t="shared" si="5"/>
        <v>-219</v>
      </c>
      <c r="J56" t="str">
        <f t="shared" si="6"/>
        <v>SummerSplash</v>
      </c>
      <c r="K56" s="20">
        <f t="shared" si="7"/>
        <v>5.615995205479452</v>
      </c>
    </row>
    <row r="57" spans="1:11" ht="14.25" customHeight="1" x14ac:dyDescent="0.3">
      <c r="A57" s="6">
        <v>45481</v>
      </c>
      <c r="B57" s="7" t="s">
        <v>11</v>
      </c>
      <c r="C57" s="8">
        <v>1757</v>
      </c>
      <c r="D57" s="8">
        <v>85</v>
      </c>
      <c r="E57" s="8">
        <v>58223</v>
      </c>
      <c r="F57" s="7">
        <v>8.74</v>
      </c>
      <c r="G57" s="22">
        <v>22728</v>
      </c>
      <c r="H57" s="20">
        <f t="shared" si="4"/>
        <v>5088.6902</v>
      </c>
      <c r="I57" s="11">
        <f t="shared" si="5"/>
        <v>1672</v>
      </c>
      <c r="J57" t="str">
        <f t="shared" si="6"/>
        <v>SummerSplash</v>
      </c>
      <c r="K57" s="20">
        <f t="shared" si="7"/>
        <v>5.5901744827586208</v>
      </c>
    </row>
    <row r="58" spans="1:11" ht="14.25" customHeight="1" x14ac:dyDescent="0.3">
      <c r="A58" s="6">
        <v>45488</v>
      </c>
      <c r="B58" s="7" t="s">
        <v>11</v>
      </c>
      <c r="C58" s="8">
        <v>1960</v>
      </c>
      <c r="D58" s="8">
        <v>115</v>
      </c>
      <c r="E58" s="8">
        <v>154169</v>
      </c>
      <c r="F58" s="7">
        <v>3.74</v>
      </c>
      <c r="G58" s="22">
        <v>10740</v>
      </c>
      <c r="H58" s="20">
        <f t="shared" si="4"/>
        <v>5765.9206000000004</v>
      </c>
      <c r="I58" s="10">
        <f t="shared" si="5"/>
        <v>1845</v>
      </c>
      <c r="J58" t="str">
        <f t="shared" si="6"/>
        <v>SummerSplash</v>
      </c>
      <c r="K58" s="20">
        <f t="shared" si="7"/>
        <v>5.5683006944444449</v>
      </c>
    </row>
    <row r="59" spans="1:11" ht="14.25" customHeight="1" x14ac:dyDescent="0.3">
      <c r="A59" s="6">
        <v>45495</v>
      </c>
      <c r="B59" s="7" t="s">
        <v>11</v>
      </c>
      <c r="C59" s="8">
        <v>508</v>
      </c>
      <c r="D59" s="8">
        <v>349</v>
      </c>
      <c r="E59" s="8">
        <v>473812</v>
      </c>
      <c r="F59" s="7">
        <v>7.88</v>
      </c>
      <c r="G59" s="22">
        <v>17328</v>
      </c>
      <c r="H59" s="20">
        <f t="shared" si="4"/>
        <v>37336.385600000001</v>
      </c>
      <c r="I59" s="11">
        <f t="shared" si="5"/>
        <v>159</v>
      </c>
      <c r="J59" t="str">
        <f t="shared" si="6"/>
        <v/>
      </c>
      <c r="K59" s="20">
        <f t="shared" si="7"/>
        <v>5.581086013986015</v>
      </c>
    </row>
    <row r="60" spans="1:11" ht="14.25" customHeight="1" x14ac:dyDescent="0.3">
      <c r="A60" s="6">
        <v>45502</v>
      </c>
      <c r="B60" s="7" t="s">
        <v>11</v>
      </c>
      <c r="C60" s="8">
        <v>653</v>
      </c>
      <c r="D60" s="8">
        <v>112</v>
      </c>
      <c r="E60" s="8">
        <v>23664</v>
      </c>
      <c r="F60" s="7">
        <v>4.05</v>
      </c>
      <c r="G60" s="22">
        <v>15353</v>
      </c>
      <c r="H60" s="20">
        <f t="shared" si="4"/>
        <v>958.39199999999994</v>
      </c>
      <c r="I60" s="10">
        <f t="shared" si="5"/>
        <v>541</v>
      </c>
      <c r="J60" t="str">
        <f t="shared" si="6"/>
        <v/>
      </c>
      <c r="K60" s="20">
        <f t="shared" si="7"/>
        <v>5.5648964788732407</v>
      </c>
    </row>
    <row r="61" spans="1:11" ht="14.25" customHeight="1" x14ac:dyDescent="0.3">
      <c r="A61" s="6">
        <v>45509</v>
      </c>
      <c r="B61" s="7" t="s">
        <v>11</v>
      </c>
      <c r="C61" s="8">
        <v>645</v>
      </c>
      <c r="D61" s="8">
        <v>293</v>
      </c>
      <c r="E61" s="8">
        <v>437968</v>
      </c>
      <c r="F61" s="7">
        <v>7.83</v>
      </c>
      <c r="G61" s="22">
        <v>49303</v>
      </c>
      <c r="H61" s="20">
        <f t="shared" si="4"/>
        <v>34292.894399999997</v>
      </c>
      <c r="I61" s="11">
        <f t="shared" si="5"/>
        <v>352</v>
      </c>
      <c r="J61" t="str">
        <f t="shared" si="6"/>
        <v/>
      </c>
      <c r="K61" s="20">
        <f t="shared" si="7"/>
        <v>5.5756404255319145</v>
      </c>
    </row>
    <row r="62" spans="1:11" ht="14.25" customHeight="1" x14ac:dyDescent="0.3">
      <c r="A62" s="6">
        <v>45516</v>
      </c>
      <c r="B62" s="7" t="s">
        <v>11</v>
      </c>
      <c r="C62" s="8">
        <v>1528</v>
      </c>
      <c r="D62" s="8">
        <v>203</v>
      </c>
      <c r="E62" s="8">
        <v>489188</v>
      </c>
      <c r="F62" s="7">
        <v>6.23</v>
      </c>
      <c r="G62" s="22">
        <v>47101</v>
      </c>
      <c r="H62" s="20">
        <f t="shared" si="4"/>
        <v>30476.412400000001</v>
      </c>
      <c r="I62" s="10">
        <f t="shared" si="5"/>
        <v>1325</v>
      </c>
      <c r="J62" t="str">
        <f t="shared" si="6"/>
        <v/>
      </c>
      <c r="K62" s="20">
        <f t="shared" si="7"/>
        <v>5.5595378571428578</v>
      </c>
    </row>
    <row r="63" spans="1:11" ht="14.25" customHeight="1" x14ac:dyDescent="0.3">
      <c r="A63" s="6">
        <v>45523</v>
      </c>
      <c r="B63" s="7" t="s">
        <v>11</v>
      </c>
      <c r="C63" s="8">
        <v>215</v>
      </c>
      <c r="D63" s="8">
        <v>139</v>
      </c>
      <c r="E63" s="8">
        <v>325444</v>
      </c>
      <c r="F63" s="7">
        <v>3.25</v>
      </c>
      <c r="G63" s="22">
        <v>35501</v>
      </c>
      <c r="H63" s="20">
        <f t="shared" si="4"/>
        <v>10576.93</v>
      </c>
      <c r="I63" s="11">
        <f t="shared" si="5"/>
        <v>76</v>
      </c>
      <c r="J63" t="str">
        <f t="shared" si="6"/>
        <v/>
      </c>
      <c r="K63" s="20">
        <f t="shared" si="7"/>
        <v>5.5547143884892094</v>
      </c>
    </row>
    <row r="64" spans="1:11" ht="14.25" customHeight="1" x14ac:dyDescent="0.3">
      <c r="A64" s="6">
        <v>45530</v>
      </c>
      <c r="B64" s="7" t="s">
        <v>11</v>
      </c>
      <c r="C64" s="8">
        <v>1685</v>
      </c>
      <c r="D64" s="8">
        <v>76</v>
      </c>
      <c r="E64" s="8">
        <v>453799</v>
      </c>
      <c r="F64" s="7">
        <v>5.71</v>
      </c>
      <c r="G64" s="22">
        <v>24913</v>
      </c>
      <c r="H64" s="20">
        <f t="shared" si="4"/>
        <v>25911.922900000001</v>
      </c>
      <c r="I64" s="10">
        <f t="shared" si="5"/>
        <v>1609</v>
      </c>
      <c r="J64" t="str">
        <f t="shared" si="6"/>
        <v/>
      </c>
      <c r="K64" s="20">
        <f t="shared" si="7"/>
        <v>5.571415217391305</v>
      </c>
    </row>
    <row r="65" spans="1:11" ht="14.25" customHeight="1" x14ac:dyDescent="0.3">
      <c r="A65" s="6">
        <v>45537</v>
      </c>
      <c r="B65" s="7" t="s">
        <v>11</v>
      </c>
      <c r="C65" s="8">
        <v>1429</v>
      </c>
      <c r="D65" s="8">
        <v>182</v>
      </c>
      <c r="E65" s="8">
        <v>101332</v>
      </c>
      <c r="F65" s="7">
        <v>7.16</v>
      </c>
      <c r="G65" s="22">
        <v>37829</v>
      </c>
      <c r="H65" s="20">
        <f t="shared" si="4"/>
        <v>7255.3711999999996</v>
      </c>
      <c r="I65" s="11">
        <f t="shared" si="5"/>
        <v>1247</v>
      </c>
      <c r="J65" t="str">
        <f t="shared" si="6"/>
        <v/>
      </c>
      <c r="K65" s="20">
        <f t="shared" si="7"/>
        <v>5.5704036496350371</v>
      </c>
    </row>
    <row r="66" spans="1:11" ht="14.25" customHeight="1" x14ac:dyDescent="0.3">
      <c r="A66" s="6">
        <v>45544</v>
      </c>
      <c r="B66" s="7" t="s">
        <v>11</v>
      </c>
      <c r="C66" s="8">
        <v>1592</v>
      </c>
      <c r="D66" s="8">
        <v>20</v>
      </c>
      <c r="E66" s="8">
        <v>378054</v>
      </c>
      <c r="F66" s="7">
        <v>9.09</v>
      </c>
      <c r="G66" s="22">
        <v>26663</v>
      </c>
      <c r="H66" s="20">
        <f t="shared" ref="H66:H97" si="8">E66 * F66 / 100</f>
        <v>34365.1086</v>
      </c>
      <c r="I66" s="10">
        <f t="shared" ref="I66:I97" si="9" xml:space="preserve"> C66 - D66</f>
        <v>1572</v>
      </c>
      <c r="J66" t="str">
        <f t="shared" ref="J66:J97" si="10">IF(AND(A66&gt;=DATE(2024,6,15), A66&lt;=DATE(2024,7,15)), "SummerSplash",
 IF(AND(A66&gt;=DATE(2024,10,1), A66&lt;=DATE(2024,10,31)), "FestiveRadiance",
 IF(AND(A66&gt;=DATE(2024,12,25), A66&lt;=DATE(2025,1,10)), "NewYearRefresh",
 IF(AND(A66&gt;=DATE(2025,3,1), A66&lt;=DATE(2025,3,31)), "DailyWellness", ""))))</f>
        <v/>
      </c>
      <c r="K66" s="20">
        <f t="shared" ref="K66:K97" si="11">AVERAGE(F66:F265)</f>
        <v>5.5587154411764716</v>
      </c>
    </row>
    <row r="67" spans="1:11" ht="14.25" customHeight="1" x14ac:dyDescent="0.3">
      <c r="A67" s="6">
        <v>45551</v>
      </c>
      <c r="B67" s="7" t="s">
        <v>11</v>
      </c>
      <c r="C67" s="8">
        <v>778</v>
      </c>
      <c r="D67" s="8">
        <v>401</v>
      </c>
      <c r="E67" s="8">
        <v>50793</v>
      </c>
      <c r="F67" s="7">
        <v>3.4</v>
      </c>
      <c r="G67" s="22">
        <v>21939</v>
      </c>
      <c r="H67" s="20">
        <f t="shared" si="8"/>
        <v>1726.9619999999998</v>
      </c>
      <c r="I67" s="11">
        <f t="shared" si="9"/>
        <v>377</v>
      </c>
      <c r="J67" t="str">
        <f t="shared" si="10"/>
        <v/>
      </c>
      <c r="K67" s="20">
        <f t="shared" si="11"/>
        <v>5.5325577777777797</v>
      </c>
    </row>
    <row r="68" spans="1:11" ht="14.25" customHeight="1" x14ac:dyDescent="0.3">
      <c r="A68" s="6">
        <v>45558</v>
      </c>
      <c r="B68" s="7" t="s">
        <v>11</v>
      </c>
      <c r="C68" s="8">
        <v>817</v>
      </c>
      <c r="D68" s="8">
        <v>151</v>
      </c>
      <c r="E68" s="8">
        <v>422625</v>
      </c>
      <c r="F68" s="7">
        <v>2.36</v>
      </c>
      <c r="G68" s="22">
        <v>1083</v>
      </c>
      <c r="H68" s="20">
        <f t="shared" si="8"/>
        <v>9973.9500000000007</v>
      </c>
      <c r="I68" s="10">
        <f t="shared" si="9"/>
        <v>666</v>
      </c>
      <c r="J68" t="str">
        <f t="shared" si="10"/>
        <v/>
      </c>
      <c r="K68" s="20">
        <f t="shared" si="11"/>
        <v>5.5484723880597038</v>
      </c>
    </row>
    <row r="69" spans="1:11" ht="14.25" customHeight="1" x14ac:dyDescent="0.3">
      <c r="A69" s="6">
        <v>45565</v>
      </c>
      <c r="B69" s="7" t="s">
        <v>11</v>
      </c>
      <c r="C69" s="8">
        <v>1433</v>
      </c>
      <c r="D69" s="8">
        <v>408</v>
      </c>
      <c r="E69" s="8">
        <v>370269</v>
      </c>
      <c r="F69" s="7">
        <v>3.3</v>
      </c>
      <c r="G69" s="22">
        <v>30575</v>
      </c>
      <c r="H69" s="20">
        <f t="shared" si="8"/>
        <v>12218.877</v>
      </c>
      <c r="I69" s="11">
        <f t="shared" si="9"/>
        <v>1025</v>
      </c>
      <c r="J69" t="str">
        <f t="shared" si="10"/>
        <v/>
      </c>
      <c r="K69" s="20">
        <f t="shared" si="11"/>
        <v>5.5724458646616561</v>
      </c>
    </row>
    <row r="70" spans="1:11" ht="14.25" customHeight="1" x14ac:dyDescent="0.3">
      <c r="A70" s="6">
        <v>45572</v>
      </c>
      <c r="B70" s="7" t="s">
        <v>11</v>
      </c>
      <c r="C70" s="8">
        <v>1939</v>
      </c>
      <c r="D70" s="8">
        <v>67</v>
      </c>
      <c r="E70" s="8">
        <v>187183</v>
      </c>
      <c r="F70" s="7">
        <v>6.25</v>
      </c>
      <c r="G70" s="22">
        <v>41215</v>
      </c>
      <c r="H70" s="20">
        <f t="shared" si="8"/>
        <v>11698.9375</v>
      </c>
      <c r="I70" s="10">
        <f t="shared" si="9"/>
        <v>1872</v>
      </c>
      <c r="J70" t="str">
        <f t="shared" si="10"/>
        <v>FestiveRadiance</v>
      </c>
      <c r="K70" s="20">
        <f t="shared" si="11"/>
        <v>5.5896613636363659</v>
      </c>
    </row>
    <row r="71" spans="1:11" ht="14.25" customHeight="1" x14ac:dyDescent="0.3">
      <c r="A71" s="6">
        <v>45579</v>
      </c>
      <c r="B71" s="7" t="s">
        <v>11</v>
      </c>
      <c r="C71" s="8">
        <v>1527</v>
      </c>
      <c r="D71" s="8">
        <v>303</v>
      </c>
      <c r="E71" s="8">
        <v>388555</v>
      </c>
      <c r="F71" s="7">
        <v>8.9</v>
      </c>
      <c r="G71" s="22">
        <v>36397</v>
      </c>
      <c r="H71" s="20">
        <f t="shared" si="8"/>
        <v>34581.394999999997</v>
      </c>
      <c r="I71" s="11">
        <f t="shared" si="9"/>
        <v>1224</v>
      </c>
      <c r="J71" t="str">
        <f t="shared" si="10"/>
        <v>FestiveRadiance</v>
      </c>
      <c r="K71" s="20">
        <f t="shared" si="11"/>
        <v>5.5846206106870246</v>
      </c>
    </row>
    <row r="72" spans="1:11" ht="14.25" customHeight="1" x14ac:dyDescent="0.3">
      <c r="A72" s="6">
        <v>45586</v>
      </c>
      <c r="B72" s="7" t="s">
        <v>11</v>
      </c>
      <c r="C72" s="8">
        <v>703</v>
      </c>
      <c r="D72" s="8">
        <v>441</v>
      </c>
      <c r="E72" s="8">
        <v>357089</v>
      </c>
      <c r="F72" s="7">
        <v>6.5</v>
      </c>
      <c r="G72" s="22">
        <v>32478</v>
      </c>
      <c r="H72" s="20">
        <f t="shared" si="8"/>
        <v>23210.785</v>
      </c>
      <c r="I72" s="10">
        <f t="shared" si="9"/>
        <v>262</v>
      </c>
      <c r="J72" t="str">
        <f t="shared" si="10"/>
        <v>FestiveRadiance</v>
      </c>
      <c r="K72" s="20">
        <f t="shared" si="11"/>
        <v>5.5591176923076935</v>
      </c>
    </row>
    <row r="73" spans="1:11" ht="14.25" customHeight="1" x14ac:dyDescent="0.3">
      <c r="A73" s="6">
        <v>45593</v>
      </c>
      <c r="B73" s="7" t="s">
        <v>11</v>
      </c>
      <c r="C73" s="8">
        <v>642</v>
      </c>
      <c r="D73" s="8">
        <v>66</v>
      </c>
      <c r="E73" s="8">
        <v>346522</v>
      </c>
      <c r="F73" s="7">
        <v>5.85</v>
      </c>
      <c r="G73" s="22">
        <v>13116</v>
      </c>
      <c r="H73" s="20">
        <f t="shared" si="8"/>
        <v>20271.537</v>
      </c>
      <c r="I73" s="11">
        <f t="shared" si="9"/>
        <v>576</v>
      </c>
      <c r="J73" t="str">
        <f t="shared" si="10"/>
        <v>FestiveRadiance</v>
      </c>
      <c r="K73" s="20">
        <f t="shared" si="11"/>
        <v>5.5518240310077536</v>
      </c>
    </row>
    <row r="74" spans="1:11" ht="14.25" customHeight="1" x14ac:dyDescent="0.3">
      <c r="A74" s="6">
        <v>45600</v>
      </c>
      <c r="B74" s="7" t="s">
        <v>11</v>
      </c>
      <c r="C74" s="8">
        <v>1466</v>
      </c>
      <c r="D74" s="8">
        <v>69</v>
      </c>
      <c r="E74" s="8">
        <v>54935</v>
      </c>
      <c r="F74" s="7">
        <v>6.85</v>
      </c>
      <c r="G74" s="22">
        <v>36484</v>
      </c>
      <c r="H74" s="20">
        <f t="shared" si="8"/>
        <v>3763.0475000000001</v>
      </c>
      <c r="I74" s="10">
        <f t="shared" si="9"/>
        <v>1397</v>
      </c>
      <c r="J74" t="str">
        <f t="shared" si="10"/>
        <v/>
      </c>
      <c r="K74" s="20">
        <f t="shared" si="11"/>
        <v>5.5494945312500015</v>
      </c>
    </row>
    <row r="75" spans="1:11" ht="14.25" customHeight="1" x14ac:dyDescent="0.3">
      <c r="A75" s="6">
        <v>45607</v>
      </c>
      <c r="B75" s="7" t="s">
        <v>11</v>
      </c>
      <c r="C75" s="8">
        <v>1075</v>
      </c>
      <c r="D75" s="8">
        <v>173</v>
      </c>
      <c r="E75" s="8">
        <v>51395</v>
      </c>
      <c r="F75" s="7">
        <v>4.66</v>
      </c>
      <c r="G75" s="22">
        <v>47812</v>
      </c>
      <c r="H75" s="20">
        <f t="shared" si="8"/>
        <v>2395.0070000000001</v>
      </c>
      <c r="I75" s="11">
        <f t="shared" si="9"/>
        <v>902</v>
      </c>
      <c r="J75" t="str">
        <f t="shared" si="10"/>
        <v/>
      </c>
      <c r="K75" s="20">
        <f t="shared" si="11"/>
        <v>5.5392543307086637</v>
      </c>
    </row>
    <row r="76" spans="1:11" ht="14.25" customHeight="1" x14ac:dyDescent="0.3">
      <c r="A76" s="6">
        <v>45614</v>
      </c>
      <c r="B76" s="7" t="s">
        <v>11</v>
      </c>
      <c r="C76" s="8">
        <v>187</v>
      </c>
      <c r="D76" s="8">
        <v>236</v>
      </c>
      <c r="E76" s="8">
        <v>51087</v>
      </c>
      <c r="F76" s="7">
        <v>9.41</v>
      </c>
      <c r="G76" s="22">
        <v>29533</v>
      </c>
      <c r="H76" s="20">
        <f t="shared" si="8"/>
        <v>4807.2866999999997</v>
      </c>
      <c r="I76" s="10">
        <f t="shared" si="9"/>
        <v>-49</v>
      </c>
      <c r="J76" t="str">
        <f t="shared" si="10"/>
        <v/>
      </c>
      <c r="K76" s="20">
        <f t="shared" si="11"/>
        <v>5.5462325396825412</v>
      </c>
    </row>
    <row r="77" spans="1:11" ht="14.25" customHeight="1" x14ac:dyDescent="0.3">
      <c r="A77" s="6">
        <v>45621</v>
      </c>
      <c r="B77" s="7" t="s">
        <v>11</v>
      </c>
      <c r="C77" s="8">
        <v>1854</v>
      </c>
      <c r="D77" s="8">
        <v>161</v>
      </c>
      <c r="E77" s="8">
        <v>282466</v>
      </c>
      <c r="F77" s="7">
        <v>5.17</v>
      </c>
      <c r="G77" s="22">
        <v>1810</v>
      </c>
      <c r="H77" s="20">
        <f t="shared" si="8"/>
        <v>14603.492200000001</v>
      </c>
      <c r="I77" s="11">
        <f t="shared" si="9"/>
        <v>1693</v>
      </c>
      <c r="J77" t="str">
        <f t="shared" si="10"/>
        <v/>
      </c>
      <c r="K77" s="20">
        <f t="shared" si="11"/>
        <v>5.5153224000000014</v>
      </c>
    </row>
    <row r="78" spans="1:11" ht="14.25" customHeight="1" x14ac:dyDescent="0.3">
      <c r="A78" s="6">
        <v>45628</v>
      </c>
      <c r="B78" s="7" t="s">
        <v>11</v>
      </c>
      <c r="C78" s="8">
        <v>1696</v>
      </c>
      <c r="D78" s="8">
        <v>71</v>
      </c>
      <c r="E78" s="8">
        <v>421957</v>
      </c>
      <c r="F78" s="7">
        <v>3.79</v>
      </c>
      <c r="G78" s="22">
        <v>36103</v>
      </c>
      <c r="H78" s="20">
        <f t="shared" si="8"/>
        <v>15992.1703</v>
      </c>
      <c r="I78" s="10">
        <f t="shared" si="9"/>
        <v>1625</v>
      </c>
      <c r="J78" t="str">
        <f t="shared" si="10"/>
        <v/>
      </c>
      <c r="K78" s="20">
        <f t="shared" si="11"/>
        <v>5.5181072580645187</v>
      </c>
    </row>
    <row r="79" spans="1:11" ht="14.25" customHeight="1" x14ac:dyDescent="0.3">
      <c r="A79" s="6">
        <v>45635</v>
      </c>
      <c r="B79" s="7" t="s">
        <v>11</v>
      </c>
      <c r="C79" s="8">
        <v>1494</v>
      </c>
      <c r="D79" s="8">
        <v>375</v>
      </c>
      <c r="E79" s="8">
        <v>220616</v>
      </c>
      <c r="F79" s="7">
        <v>1.81</v>
      </c>
      <c r="G79" s="22">
        <v>22724</v>
      </c>
      <c r="H79" s="20">
        <f t="shared" si="8"/>
        <v>3993.1496000000002</v>
      </c>
      <c r="I79" s="11">
        <f t="shared" si="9"/>
        <v>1119</v>
      </c>
      <c r="J79" t="str">
        <f t="shared" si="10"/>
        <v/>
      </c>
      <c r="K79" s="20">
        <f t="shared" si="11"/>
        <v>5.5321569105691077</v>
      </c>
    </row>
    <row r="80" spans="1:11" ht="14.25" customHeight="1" x14ac:dyDescent="0.3">
      <c r="A80" s="6">
        <v>45642</v>
      </c>
      <c r="B80" s="7" t="s">
        <v>11</v>
      </c>
      <c r="C80" s="8">
        <v>1502</v>
      </c>
      <c r="D80" s="8">
        <v>70</v>
      </c>
      <c r="E80" s="8">
        <v>465553</v>
      </c>
      <c r="F80" s="7">
        <v>3.32</v>
      </c>
      <c r="G80" s="22">
        <v>20692</v>
      </c>
      <c r="H80" s="20">
        <f t="shared" si="8"/>
        <v>15456.3596</v>
      </c>
      <c r="I80" s="10">
        <f t="shared" si="9"/>
        <v>1432</v>
      </c>
      <c r="J80" t="str">
        <f t="shared" si="10"/>
        <v/>
      </c>
      <c r="K80" s="20">
        <f t="shared" si="11"/>
        <v>5.5626663934426261</v>
      </c>
    </row>
    <row r="81" spans="1:11" ht="14.25" customHeight="1" x14ac:dyDescent="0.3">
      <c r="A81" s="6">
        <v>45649</v>
      </c>
      <c r="B81" s="7" t="s">
        <v>11</v>
      </c>
      <c r="C81" s="8">
        <v>1092</v>
      </c>
      <c r="D81" s="8">
        <v>408</v>
      </c>
      <c r="E81" s="8">
        <v>280795</v>
      </c>
      <c r="F81" s="7">
        <v>8.44</v>
      </c>
      <c r="G81" s="22">
        <v>4683</v>
      </c>
      <c r="H81" s="20">
        <f t="shared" si="8"/>
        <v>23699.097999999998</v>
      </c>
      <c r="I81" s="11">
        <f t="shared" si="9"/>
        <v>684</v>
      </c>
      <c r="J81" t="str">
        <f t="shared" si="10"/>
        <v/>
      </c>
      <c r="K81" s="20">
        <f t="shared" si="11"/>
        <v>5.5812008264462838</v>
      </c>
    </row>
    <row r="82" spans="1:11" ht="14.25" customHeight="1" x14ac:dyDescent="0.3">
      <c r="A82" s="6">
        <v>45656</v>
      </c>
      <c r="B82" s="7" t="s">
        <v>11</v>
      </c>
      <c r="C82" s="8">
        <v>1814</v>
      </c>
      <c r="D82" s="8">
        <v>49</v>
      </c>
      <c r="E82" s="8">
        <v>140804</v>
      </c>
      <c r="F82" s="7">
        <v>1.76</v>
      </c>
      <c r="G82" s="22">
        <v>4313</v>
      </c>
      <c r="H82" s="20">
        <f t="shared" si="8"/>
        <v>2478.1504</v>
      </c>
      <c r="I82" s="10">
        <f t="shared" si="9"/>
        <v>1765</v>
      </c>
      <c r="J82" t="str">
        <f t="shared" si="10"/>
        <v>NewYearRefresh</v>
      </c>
      <c r="K82" s="20">
        <f t="shared" si="11"/>
        <v>5.5573775000000021</v>
      </c>
    </row>
    <row r="83" spans="1:11" ht="14.25" customHeight="1" x14ac:dyDescent="0.3">
      <c r="A83" s="6">
        <v>45663</v>
      </c>
      <c r="B83" s="7" t="s">
        <v>11</v>
      </c>
      <c r="C83" s="8">
        <v>1013</v>
      </c>
      <c r="D83" s="8">
        <v>110</v>
      </c>
      <c r="E83" s="8">
        <v>466382</v>
      </c>
      <c r="F83" s="7">
        <v>5.3</v>
      </c>
      <c r="G83" s="22">
        <v>37132</v>
      </c>
      <c r="H83" s="20">
        <f t="shared" si="8"/>
        <v>24718.245999999999</v>
      </c>
      <c r="I83" s="11">
        <f t="shared" si="9"/>
        <v>903</v>
      </c>
      <c r="J83" t="str">
        <f t="shared" si="10"/>
        <v>NewYearRefresh</v>
      </c>
      <c r="K83" s="20">
        <f t="shared" si="11"/>
        <v>5.58928823529412</v>
      </c>
    </row>
    <row r="84" spans="1:11" ht="14.25" customHeight="1" x14ac:dyDescent="0.3">
      <c r="A84" s="6">
        <v>45670</v>
      </c>
      <c r="B84" s="7" t="s">
        <v>11</v>
      </c>
      <c r="C84" s="8">
        <v>1855</v>
      </c>
      <c r="D84" s="8">
        <v>133</v>
      </c>
      <c r="E84" s="8">
        <v>349413</v>
      </c>
      <c r="F84" s="7">
        <v>3.3</v>
      </c>
      <c r="G84" s="22">
        <v>14548</v>
      </c>
      <c r="H84" s="20">
        <f t="shared" si="8"/>
        <v>11530.628999999999</v>
      </c>
      <c r="I84" s="10">
        <f t="shared" si="9"/>
        <v>1722</v>
      </c>
      <c r="J84" t="str">
        <f t="shared" si="10"/>
        <v/>
      </c>
      <c r="K84" s="20">
        <f t="shared" si="11"/>
        <v>5.5917398305084776</v>
      </c>
    </row>
    <row r="85" spans="1:11" ht="14.25" customHeight="1" x14ac:dyDescent="0.3">
      <c r="A85" s="6">
        <v>45677</v>
      </c>
      <c r="B85" s="7" t="s">
        <v>11</v>
      </c>
      <c r="C85" s="8">
        <v>1748</v>
      </c>
      <c r="D85" s="8">
        <v>176</v>
      </c>
      <c r="E85" s="8">
        <v>383681</v>
      </c>
      <c r="F85" s="7">
        <v>9.24</v>
      </c>
      <c r="G85" s="22">
        <v>43122</v>
      </c>
      <c r="H85" s="20">
        <f t="shared" si="8"/>
        <v>35452.124400000001</v>
      </c>
      <c r="I85" s="11">
        <f t="shared" si="9"/>
        <v>1572</v>
      </c>
      <c r="J85" t="str">
        <f t="shared" si="10"/>
        <v/>
      </c>
      <c r="K85" s="20">
        <f t="shared" si="11"/>
        <v>5.6113273504273549</v>
      </c>
    </row>
    <row r="86" spans="1:11" ht="14.25" customHeight="1" x14ac:dyDescent="0.3">
      <c r="A86" s="6">
        <v>45684</v>
      </c>
      <c r="B86" s="7" t="s">
        <v>11</v>
      </c>
      <c r="C86" s="8">
        <v>115</v>
      </c>
      <c r="D86" s="8">
        <v>281</v>
      </c>
      <c r="E86" s="8">
        <v>357265</v>
      </c>
      <c r="F86" s="7">
        <v>9.23</v>
      </c>
      <c r="G86" s="22">
        <v>25525</v>
      </c>
      <c r="H86" s="20">
        <f t="shared" si="8"/>
        <v>32975.559500000003</v>
      </c>
      <c r="I86" s="10">
        <f t="shared" si="9"/>
        <v>-166</v>
      </c>
      <c r="J86" t="str">
        <f t="shared" si="10"/>
        <v/>
      </c>
      <c r="K86" s="20">
        <f t="shared" si="11"/>
        <v>5.5800456896551767</v>
      </c>
    </row>
    <row r="87" spans="1:11" ht="14.25" customHeight="1" x14ac:dyDescent="0.3">
      <c r="A87" s="6">
        <v>45691</v>
      </c>
      <c r="B87" s="7" t="s">
        <v>11</v>
      </c>
      <c r="C87" s="8">
        <v>1556</v>
      </c>
      <c r="D87" s="8">
        <v>476</v>
      </c>
      <c r="E87" s="8">
        <v>351556</v>
      </c>
      <c r="F87" s="7">
        <v>3.89</v>
      </c>
      <c r="G87" s="22">
        <v>10825</v>
      </c>
      <c r="H87" s="20">
        <f t="shared" si="8"/>
        <v>13675.528400000001</v>
      </c>
      <c r="I87" s="11">
        <f t="shared" si="9"/>
        <v>1080</v>
      </c>
      <c r="J87" t="str">
        <f t="shared" si="10"/>
        <v/>
      </c>
      <c r="K87" s="20">
        <f t="shared" si="11"/>
        <v>5.548306956521742</v>
      </c>
    </row>
    <row r="88" spans="1:11" ht="14.25" customHeight="1" x14ac:dyDescent="0.3">
      <c r="A88" s="6">
        <v>45698</v>
      </c>
      <c r="B88" s="7" t="s">
        <v>11</v>
      </c>
      <c r="C88" s="8">
        <v>1957</v>
      </c>
      <c r="D88" s="8">
        <v>234</v>
      </c>
      <c r="E88" s="8">
        <v>222126</v>
      </c>
      <c r="F88" s="7">
        <v>4.6100000000000003</v>
      </c>
      <c r="G88" s="22">
        <v>3314</v>
      </c>
      <c r="H88" s="20">
        <f t="shared" si="8"/>
        <v>10240.008600000001</v>
      </c>
      <c r="I88" s="10">
        <f t="shared" si="9"/>
        <v>1723</v>
      </c>
      <c r="J88" t="str">
        <f t="shared" si="10"/>
        <v/>
      </c>
      <c r="K88" s="20">
        <f t="shared" si="11"/>
        <v>5.5628535087719326</v>
      </c>
    </row>
    <row r="89" spans="1:11" ht="14.25" customHeight="1" x14ac:dyDescent="0.3">
      <c r="A89" s="6">
        <v>45705</v>
      </c>
      <c r="B89" s="7" t="s">
        <v>11</v>
      </c>
      <c r="C89" s="8">
        <v>1138</v>
      </c>
      <c r="D89" s="8">
        <v>173</v>
      </c>
      <c r="E89" s="8">
        <v>453243</v>
      </c>
      <c r="F89" s="7">
        <v>2.86</v>
      </c>
      <c r="G89" s="22">
        <v>44097</v>
      </c>
      <c r="H89" s="20">
        <f t="shared" si="8"/>
        <v>12962.7498</v>
      </c>
      <c r="I89" s="11">
        <f t="shared" si="9"/>
        <v>965</v>
      </c>
      <c r="J89" t="str">
        <f t="shared" si="10"/>
        <v/>
      </c>
      <c r="K89" s="20">
        <f t="shared" si="11"/>
        <v>5.5712858407079677</v>
      </c>
    </row>
    <row r="90" spans="1:11" ht="14.25" customHeight="1" x14ac:dyDescent="0.3">
      <c r="A90" s="6">
        <v>45712</v>
      </c>
      <c r="B90" s="7" t="s">
        <v>11</v>
      </c>
      <c r="C90" s="8">
        <v>1440</v>
      </c>
      <c r="D90" s="8">
        <v>65</v>
      </c>
      <c r="E90" s="8">
        <v>126524</v>
      </c>
      <c r="F90" s="7">
        <v>4.34</v>
      </c>
      <c r="G90" s="22">
        <v>49772</v>
      </c>
      <c r="H90" s="20">
        <f t="shared" si="8"/>
        <v>5491.1415999999999</v>
      </c>
      <c r="I90" s="10">
        <f t="shared" si="9"/>
        <v>1375</v>
      </c>
      <c r="J90" t="str">
        <f t="shared" si="10"/>
        <v/>
      </c>
      <c r="K90" s="20">
        <f t="shared" si="11"/>
        <v>5.5954937500000028</v>
      </c>
    </row>
    <row r="91" spans="1:11" ht="14.25" customHeight="1" x14ac:dyDescent="0.3">
      <c r="A91" s="6">
        <v>45719</v>
      </c>
      <c r="B91" s="7" t="s">
        <v>11</v>
      </c>
      <c r="C91" s="8">
        <v>1371</v>
      </c>
      <c r="D91" s="8">
        <v>56</v>
      </c>
      <c r="E91" s="8">
        <v>257579</v>
      </c>
      <c r="F91" s="7">
        <v>8.6199999999999992</v>
      </c>
      <c r="G91" s="22">
        <v>33799</v>
      </c>
      <c r="H91" s="20">
        <f t="shared" si="8"/>
        <v>22203.309799999999</v>
      </c>
      <c r="I91" s="11">
        <f t="shared" si="9"/>
        <v>1315</v>
      </c>
      <c r="J91" t="str">
        <f t="shared" si="10"/>
        <v>DailyWellness</v>
      </c>
      <c r="K91" s="20">
        <f t="shared" si="11"/>
        <v>5.606804504504507</v>
      </c>
    </row>
    <row r="92" spans="1:11" ht="14.25" customHeight="1" x14ac:dyDescent="0.3">
      <c r="A92" s="6">
        <v>45726</v>
      </c>
      <c r="B92" s="7" t="s">
        <v>11</v>
      </c>
      <c r="C92" s="8">
        <v>393</v>
      </c>
      <c r="D92" s="8">
        <v>181</v>
      </c>
      <c r="E92" s="8">
        <v>462142</v>
      </c>
      <c r="F92" s="7">
        <v>7.23</v>
      </c>
      <c r="G92" s="22">
        <v>6296</v>
      </c>
      <c r="H92" s="20">
        <f t="shared" si="8"/>
        <v>33412.866600000001</v>
      </c>
      <c r="I92" s="10">
        <f t="shared" si="9"/>
        <v>212</v>
      </c>
      <c r="J92" t="str">
        <f t="shared" si="10"/>
        <v>DailyWellness</v>
      </c>
      <c r="K92" s="20">
        <f t="shared" si="11"/>
        <v>5.5794118181818204</v>
      </c>
    </row>
    <row r="93" spans="1:11" ht="14.25" customHeight="1" x14ac:dyDescent="0.3">
      <c r="A93" s="6">
        <v>45733</v>
      </c>
      <c r="B93" s="7" t="s">
        <v>11</v>
      </c>
      <c r="C93" s="8">
        <v>1102</v>
      </c>
      <c r="D93" s="8">
        <v>422</v>
      </c>
      <c r="E93" s="8">
        <v>410330</v>
      </c>
      <c r="F93" s="7">
        <v>7.74</v>
      </c>
      <c r="G93" s="22">
        <v>9480</v>
      </c>
      <c r="H93" s="20">
        <f t="shared" si="8"/>
        <v>31759.542000000001</v>
      </c>
      <c r="I93" s="11">
        <f t="shared" si="9"/>
        <v>680</v>
      </c>
      <c r="J93" t="str">
        <f t="shared" si="10"/>
        <v>DailyWellness</v>
      </c>
      <c r="K93" s="20">
        <f t="shared" si="11"/>
        <v>5.5642688073394515</v>
      </c>
    </row>
    <row r="94" spans="1:11" ht="14.25" customHeight="1" x14ac:dyDescent="0.3">
      <c r="A94" s="6">
        <v>45740</v>
      </c>
      <c r="B94" s="7" t="s">
        <v>11</v>
      </c>
      <c r="C94" s="8">
        <v>490</v>
      </c>
      <c r="D94" s="8">
        <v>29</v>
      </c>
      <c r="E94" s="8">
        <v>364810</v>
      </c>
      <c r="F94" s="7">
        <v>1.53</v>
      </c>
      <c r="G94" s="22">
        <v>49077</v>
      </c>
      <c r="H94" s="20">
        <f t="shared" si="8"/>
        <v>5581.5930000000008</v>
      </c>
      <c r="I94" s="10">
        <f t="shared" si="9"/>
        <v>461</v>
      </c>
      <c r="J94" t="str">
        <f t="shared" si="10"/>
        <v>DailyWellness</v>
      </c>
      <c r="K94" s="20">
        <f t="shared" si="11"/>
        <v>5.5441231481481505</v>
      </c>
    </row>
    <row r="95" spans="1:11" ht="14.25" customHeight="1" x14ac:dyDescent="0.3">
      <c r="A95" s="6">
        <v>45747</v>
      </c>
      <c r="B95" s="7" t="s">
        <v>11</v>
      </c>
      <c r="C95" s="8">
        <v>1033</v>
      </c>
      <c r="D95" s="8">
        <v>392</v>
      </c>
      <c r="E95" s="8">
        <v>282780</v>
      </c>
      <c r="F95" s="7">
        <v>6.27</v>
      </c>
      <c r="G95" s="22">
        <v>23140</v>
      </c>
      <c r="H95" s="20">
        <f t="shared" si="8"/>
        <v>17730.305999999997</v>
      </c>
      <c r="I95" s="11">
        <f t="shared" si="9"/>
        <v>641</v>
      </c>
      <c r="J95" t="str">
        <f t="shared" si="10"/>
        <v>DailyWellness</v>
      </c>
      <c r="K95" s="20">
        <f t="shared" si="11"/>
        <v>5.5816383177570108</v>
      </c>
    </row>
    <row r="96" spans="1:11" ht="14.25" customHeight="1" x14ac:dyDescent="0.3">
      <c r="A96" s="6">
        <v>45754</v>
      </c>
      <c r="B96" s="7" t="s">
        <v>11</v>
      </c>
      <c r="C96" s="8">
        <v>559</v>
      </c>
      <c r="D96" s="8">
        <v>392</v>
      </c>
      <c r="E96" s="8">
        <v>78789</v>
      </c>
      <c r="F96" s="7">
        <v>3.19</v>
      </c>
      <c r="G96" s="22">
        <v>2436</v>
      </c>
      <c r="H96" s="20">
        <f t="shared" si="8"/>
        <v>2513.3690999999999</v>
      </c>
      <c r="I96" s="10">
        <f t="shared" si="9"/>
        <v>167</v>
      </c>
      <c r="J96" t="str">
        <f t="shared" si="10"/>
        <v/>
      </c>
      <c r="K96" s="20">
        <f t="shared" si="11"/>
        <v>5.5751443396226446</v>
      </c>
    </row>
    <row r="97" spans="1:11" ht="14.25" customHeight="1" x14ac:dyDescent="0.3">
      <c r="A97" s="6">
        <v>45761</v>
      </c>
      <c r="B97" s="7" t="s">
        <v>11</v>
      </c>
      <c r="C97" s="8">
        <v>198</v>
      </c>
      <c r="D97" s="8">
        <v>358</v>
      </c>
      <c r="E97" s="8">
        <v>66682</v>
      </c>
      <c r="F97" s="7">
        <v>6.73</v>
      </c>
      <c r="G97" s="22">
        <v>2293</v>
      </c>
      <c r="H97" s="20">
        <f t="shared" si="8"/>
        <v>4487.6986000000006</v>
      </c>
      <c r="I97" s="11">
        <f t="shared" si="9"/>
        <v>-160</v>
      </c>
      <c r="J97" t="str">
        <f t="shared" si="10"/>
        <v/>
      </c>
      <c r="K97" s="20">
        <f t="shared" si="11"/>
        <v>5.5978600000000025</v>
      </c>
    </row>
    <row r="98" spans="1:11" ht="14.25" customHeight="1" x14ac:dyDescent="0.3">
      <c r="A98" s="6">
        <v>45768</v>
      </c>
      <c r="B98" s="7" t="s">
        <v>11</v>
      </c>
      <c r="C98" s="8">
        <v>961</v>
      </c>
      <c r="D98" s="8">
        <v>358</v>
      </c>
      <c r="E98" s="8">
        <v>62942</v>
      </c>
      <c r="F98" s="7">
        <v>6.8</v>
      </c>
      <c r="G98" s="22">
        <v>18693</v>
      </c>
      <c r="H98" s="20">
        <f t="shared" ref="H98:H129" si="12">E98 * F98 / 100</f>
        <v>4280.0559999999996</v>
      </c>
      <c r="I98" s="10">
        <f t="shared" ref="I98:I129" si="13" xml:space="preserve"> C98 - D98</f>
        <v>603</v>
      </c>
      <c r="J98" t="str">
        <f t="shared" ref="J98:J129" si="14">IF(AND(A98&gt;=DATE(2024,6,15), A98&lt;=DATE(2024,7,15)), "SummerSplash",
 IF(AND(A98&gt;=DATE(2024,10,1), A98&lt;=DATE(2024,10,31)), "FestiveRadiance",
 IF(AND(A98&gt;=DATE(2024,12,25), A98&lt;=DATE(2025,1,10)), "NewYearRefresh",
 IF(AND(A98&gt;=DATE(2025,3,1), A98&lt;=DATE(2025,3,31)), "DailyWellness", ""))))</f>
        <v/>
      </c>
      <c r="K98" s="20">
        <f t="shared" ref="K98:K129" si="15">AVERAGE(F98:F297)</f>
        <v>5.5869740384615403</v>
      </c>
    </row>
    <row r="99" spans="1:11" ht="14.25" customHeight="1" x14ac:dyDescent="0.3">
      <c r="A99" s="6">
        <v>45775</v>
      </c>
      <c r="B99" s="7" t="s">
        <v>11</v>
      </c>
      <c r="C99" s="8">
        <v>1693</v>
      </c>
      <c r="D99" s="8">
        <v>154</v>
      </c>
      <c r="E99" s="8">
        <v>445944</v>
      </c>
      <c r="F99" s="7">
        <v>5.69</v>
      </c>
      <c r="G99" s="22">
        <v>14216</v>
      </c>
      <c r="H99" s="20">
        <f t="shared" si="12"/>
        <v>25374.213600000003</v>
      </c>
      <c r="I99" s="11">
        <f t="shared" si="13"/>
        <v>1539</v>
      </c>
      <c r="J99" t="str">
        <f t="shared" si="14"/>
        <v/>
      </c>
      <c r="K99" s="20">
        <f t="shared" si="15"/>
        <v>5.5751970873786423</v>
      </c>
    </row>
    <row r="100" spans="1:11" ht="14.25" customHeight="1" x14ac:dyDescent="0.3">
      <c r="A100" s="6">
        <v>45782</v>
      </c>
      <c r="B100" s="7" t="s">
        <v>11</v>
      </c>
      <c r="C100" s="8">
        <v>1957</v>
      </c>
      <c r="D100" s="8">
        <v>76</v>
      </c>
      <c r="E100" s="8">
        <v>447902</v>
      </c>
      <c r="F100" s="7">
        <v>6.09</v>
      </c>
      <c r="G100" s="22">
        <v>33381</v>
      </c>
      <c r="H100" s="20">
        <f t="shared" si="12"/>
        <v>27277.231800000001</v>
      </c>
      <c r="I100" s="10">
        <f t="shared" si="13"/>
        <v>1881</v>
      </c>
      <c r="J100" t="str">
        <f t="shared" si="14"/>
        <v/>
      </c>
      <c r="K100" s="20">
        <f t="shared" si="15"/>
        <v>5.5740715686274527</v>
      </c>
    </row>
    <row r="101" spans="1:11" ht="14.25" customHeight="1" x14ac:dyDescent="0.3">
      <c r="A101" s="6">
        <v>45789</v>
      </c>
      <c r="B101" s="7" t="s">
        <v>11</v>
      </c>
      <c r="C101" s="8">
        <v>1765</v>
      </c>
      <c r="D101" s="8">
        <v>109</v>
      </c>
      <c r="E101" s="8">
        <v>468301</v>
      </c>
      <c r="F101" s="7">
        <v>1.82</v>
      </c>
      <c r="G101" s="22">
        <v>20042</v>
      </c>
      <c r="H101" s="20">
        <f t="shared" si="12"/>
        <v>8523.0781999999999</v>
      </c>
      <c r="I101" s="11">
        <f t="shared" si="13"/>
        <v>1656</v>
      </c>
      <c r="J101" t="str">
        <f t="shared" si="14"/>
        <v/>
      </c>
      <c r="K101" s="20">
        <f t="shared" si="15"/>
        <v>5.5689633663366358</v>
      </c>
    </row>
    <row r="102" spans="1:11" ht="14.25" customHeight="1" x14ac:dyDescent="0.3">
      <c r="A102" s="6">
        <v>45446</v>
      </c>
      <c r="B102" s="7" t="s">
        <v>12</v>
      </c>
      <c r="C102" s="8">
        <v>584</v>
      </c>
      <c r="D102" s="8">
        <v>169</v>
      </c>
      <c r="E102" s="8">
        <v>146834</v>
      </c>
      <c r="F102" s="7">
        <v>8.31</v>
      </c>
      <c r="G102" s="22">
        <v>26752</v>
      </c>
      <c r="H102" s="20">
        <f t="shared" si="12"/>
        <v>12201.9054</v>
      </c>
      <c r="I102" s="10">
        <f t="shared" si="13"/>
        <v>415</v>
      </c>
      <c r="J102" t="str">
        <f t="shared" si="14"/>
        <v/>
      </c>
      <c r="K102" s="20">
        <f t="shared" si="15"/>
        <v>5.606453000000001</v>
      </c>
    </row>
    <row r="103" spans="1:11" ht="14.25" customHeight="1" x14ac:dyDescent="0.3">
      <c r="A103" s="6">
        <v>45453</v>
      </c>
      <c r="B103" s="7" t="s">
        <v>12</v>
      </c>
      <c r="C103" s="8">
        <v>436</v>
      </c>
      <c r="D103" s="8">
        <v>250</v>
      </c>
      <c r="E103" s="8">
        <v>254347</v>
      </c>
      <c r="F103" s="7">
        <v>4.01</v>
      </c>
      <c r="G103" s="22">
        <v>8912</v>
      </c>
      <c r="H103" s="20">
        <f t="shared" si="12"/>
        <v>10199.314699999999</v>
      </c>
      <c r="I103" s="11">
        <f t="shared" si="13"/>
        <v>186</v>
      </c>
      <c r="J103" t="str">
        <f t="shared" si="14"/>
        <v/>
      </c>
      <c r="K103" s="20">
        <f t="shared" si="15"/>
        <v>5.579144444444446</v>
      </c>
    </row>
    <row r="104" spans="1:11" ht="14.25" customHeight="1" x14ac:dyDescent="0.3">
      <c r="A104" s="6">
        <v>45460</v>
      </c>
      <c r="B104" s="7" t="s">
        <v>12</v>
      </c>
      <c r="C104" s="8">
        <v>1335</v>
      </c>
      <c r="D104" s="8">
        <v>40</v>
      </c>
      <c r="E104" s="8">
        <v>122732</v>
      </c>
      <c r="F104" s="7">
        <v>8.19</v>
      </c>
      <c r="G104" s="22">
        <v>22482</v>
      </c>
      <c r="H104" s="20">
        <f t="shared" si="12"/>
        <v>10051.7508</v>
      </c>
      <c r="I104" s="10">
        <f t="shared" si="13"/>
        <v>1295</v>
      </c>
      <c r="J104" t="str">
        <f t="shared" si="14"/>
        <v>SummerSplash</v>
      </c>
      <c r="K104" s="20">
        <f t="shared" si="15"/>
        <v>5.5951561224489819</v>
      </c>
    </row>
    <row r="105" spans="1:11" ht="14.25" customHeight="1" x14ac:dyDescent="0.3">
      <c r="A105" s="6">
        <v>45467</v>
      </c>
      <c r="B105" s="7" t="s">
        <v>12</v>
      </c>
      <c r="C105" s="8">
        <v>1238</v>
      </c>
      <c r="D105" s="8">
        <v>403</v>
      </c>
      <c r="E105" s="8">
        <v>298421</v>
      </c>
      <c r="F105" s="7">
        <v>3.5</v>
      </c>
      <c r="G105" s="22">
        <v>31280</v>
      </c>
      <c r="H105" s="20">
        <f t="shared" si="12"/>
        <v>10444.735000000001</v>
      </c>
      <c r="I105" s="11">
        <f t="shared" si="13"/>
        <v>835</v>
      </c>
      <c r="J105" t="str">
        <f t="shared" si="14"/>
        <v>SummerSplash</v>
      </c>
      <c r="K105" s="20">
        <f t="shared" si="15"/>
        <v>5.5684051546391764</v>
      </c>
    </row>
    <row r="106" spans="1:11" ht="14.25" customHeight="1" x14ac:dyDescent="0.3">
      <c r="A106" s="6">
        <v>45474</v>
      </c>
      <c r="B106" s="7" t="s">
        <v>12</v>
      </c>
      <c r="C106" s="8">
        <v>1420</v>
      </c>
      <c r="D106" s="8">
        <v>63</v>
      </c>
      <c r="E106" s="8">
        <v>315305</v>
      </c>
      <c r="F106" s="7">
        <v>6.19</v>
      </c>
      <c r="G106" s="22">
        <v>5914</v>
      </c>
      <c r="H106" s="20">
        <f t="shared" si="12"/>
        <v>19517.379500000003</v>
      </c>
      <c r="I106" s="10">
        <f t="shared" si="13"/>
        <v>1357</v>
      </c>
      <c r="J106" t="str">
        <f t="shared" si="14"/>
        <v>SummerSplash</v>
      </c>
      <c r="K106" s="20">
        <f t="shared" si="15"/>
        <v>5.5899510416666685</v>
      </c>
    </row>
    <row r="107" spans="1:11" ht="14.25" customHeight="1" x14ac:dyDescent="0.3">
      <c r="A107" s="6">
        <v>45481</v>
      </c>
      <c r="B107" s="7" t="s">
        <v>12</v>
      </c>
      <c r="C107" s="8">
        <v>987</v>
      </c>
      <c r="D107" s="8">
        <v>440</v>
      </c>
      <c r="E107" s="8">
        <v>389810</v>
      </c>
      <c r="F107" s="7">
        <v>4.66</v>
      </c>
      <c r="G107" s="22">
        <v>2932</v>
      </c>
      <c r="H107" s="20">
        <f t="shared" si="12"/>
        <v>18165.146000000001</v>
      </c>
      <c r="I107" s="11">
        <f t="shared" si="13"/>
        <v>547</v>
      </c>
      <c r="J107" t="str">
        <f t="shared" si="14"/>
        <v>SummerSplash</v>
      </c>
      <c r="K107" s="20">
        <f t="shared" si="15"/>
        <v>5.5836347368421073</v>
      </c>
    </row>
    <row r="108" spans="1:11" ht="14.25" customHeight="1" x14ac:dyDescent="0.3">
      <c r="A108" s="6">
        <v>45488</v>
      </c>
      <c r="B108" s="7" t="s">
        <v>12</v>
      </c>
      <c r="C108" s="8">
        <v>704</v>
      </c>
      <c r="D108" s="8">
        <v>275</v>
      </c>
      <c r="E108" s="8">
        <v>226002</v>
      </c>
      <c r="F108" s="7">
        <v>8.56</v>
      </c>
      <c r="G108" s="22">
        <v>32393</v>
      </c>
      <c r="H108" s="20">
        <f t="shared" si="12"/>
        <v>19345.771200000003</v>
      </c>
      <c r="I108" s="10">
        <f t="shared" si="13"/>
        <v>429</v>
      </c>
      <c r="J108" t="str">
        <f t="shared" si="14"/>
        <v>SummerSplash</v>
      </c>
      <c r="K108" s="20">
        <f t="shared" si="15"/>
        <v>5.5934606382978735</v>
      </c>
    </row>
    <row r="109" spans="1:11" ht="14.25" customHeight="1" x14ac:dyDescent="0.3">
      <c r="A109" s="6">
        <v>45495</v>
      </c>
      <c r="B109" s="7" t="s">
        <v>12</v>
      </c>
      <c r="C109" s="8">
        <v>1701</v>
      </c>
      <c r="D109" s="8">
        <v>385</v>
      </c>
      <c r="E109" s="8">
        <v>198278</v>
      </c>
      <c r="F109" s="7">
        <v>5.34</v>
      </c>
      <c r="G109" s="22">
        <v>32763</v>
      </c>
      <c r="H109" s="20">
        <f t="shared" si="12"/>
        <v>10588.0452</v>
      </c>
      <c r="I109" s="11">
        <f t="shared" si="13"/>
        <v>1316</v>
      </c>
      <c r="J109" t="str">
        <f t="shared" si="14"/>
        <v/>
      </c>
      <c r="K109" s="20">
        <f t="shared" si="15"/>
        <v>5.5615623655913984</v>
      </c>
    </row>
    <row r="110" spans="1:11" ht="14.25" customHeight="1" x14ac:dyDescent="0.3">
      <c r="A110" s="6">
        <v>45502</v>
      </c>
      <c r="B110" s="7" t="s">
        <v>12</v>
      </c>
      <c r="C110" s="8">
        <v>1756</v>
      </c>
      <c r="D110" s="8">
        <v>261</v>
      </c>
      <c r="E110" s="8">
        <v>287574</v>
      </c>
      <c r="F110" s="7">
        <v>4.3600000000000003</v>
      </c>
      <c r="G110" s="22">
        <v>39272</v>
      </c>
      <c r="H110" s="20">
        <f t="shared" si="12"/>
        <v>12538.226400000001</v>
      </c>
      <c r="I110" s="10">
        <f t="shared" si="13"/>
        <v>1495</v>
      </c>
      <c r="J110" t="str">
        <f t="shared" si="14"/>
        <v/>
      </c>
      <c r="K110" s="20">
        <f t="shared" si="15"/>
        <v>5.5639706521739143</v>
      </c>
    </row>
    <row r="111" spans="1:11" ht="14.25" customHeight="1" x14ac:dyDescent="0.3">
      <c r="A111" s="6">
        <v>45509</v>
      </c>
      <c r="B111" s="7" t="s">
        <v>12</v>
      </c>
      <c r="C111" s="8">
        <v>826</v>
      </c>
      <c r="D111" s="8">
        <v>498</v>
      </c>
      <c r="E111" s="8">
        <v>449994</v>
      </c>
      <c r="F111" s="7">
        <v>9.43</v>
      </c>
      <c r="G111" s="22">
        <v>12384</v>
      </c>
      <c r="H111" s="20">
        <f t="shared" si="12"/>
        <v>42434.434199999996</v>
      </c>
      <c r="I111" s="11">
        <f t="shared" si="13"/>
        <v>328</v>
      </c>
      <c r="J111" t="str">
        <f t="shared" si="14"/>
        <v/>
      </c>
      <c r="K111" s="20">
        <f t="shared" si="15"/>
        <v>5.5772010989010994</v>
      </c>
    </row>
    <row r="112" spans="1:11" ht="14.25" customHeight="1" x14ac:dyDescent="0.3">
      <c r="A112" s="6">
        <v>45516</v>
      </c>
      <c r="B112" s="7" t="s">
        <v>12</v>
      </c>
      <c r="C112" s="8">
        <v>485</v>
      </c>
      <c r="D112" s="8">
        <v>448</v>
      </c>
      <c r="E112" s="8">
        <v>434883</v>
      </c>
      <c r="F112" s="7">
        <v>8.5500000000000007</v>
      </c>
      <c r="G112" s="22">
        <v>33258</v>
      </c>
      <c r="H112" s="20">
        <f t="shared" si="12"/>
        <v>37182.496500000001</v>
      </c>
      <c r="I112" s="10">
        <f t="shared" si="13"/>
        <v>37</v>
      </c>
      <c r="J112" t="str">
        <f t="shared" si="14"/>
        <v/>
      </c>
      <c r="K112" s="20">
        <f t="shared" si="15"/>
        <v>5.5343922222222233</v>
      </c>
    </row>
    <row r="113" spans="1:11" ht="14.25" customHeight="1" x14ac:dyDescent="0.3">
      <c r="A113" s="6">
        <v>45523</v>
      </c>
      <c r="B113" s="7" t="s">
        <v>12</v>
      </c>
      <c r="C113" s="8">
        <v>1751</v>
      </c>
      <c r="D113" s="8">
        <v>86</v>
      </c>
      <c r="E113" s="8">
        <v>188655</v>
      </c>
      <c r="F113" s="7">
        <v>7.24</v>
      </c>
      <c r="G113" s="22">
        <v>22206</v>
      </c>
      <c r="H113" s="20">
        <f t="shared" si="12"/>
        <v>13658.621999999999</v>
      </c>
      <c r="I113" s="11">
        <f t="shared" si="13"/>
        <v>1665</v>
      </c>
      <c r="J113" t="str">
        <f t="shared" si="14"/>
        <v/>
      </c>
      <c r="K113" s="20">
        <f t="shared" si="15"/>
        <v>5.5005089887640457</v>
      </c>
    </row>
    <row r="114" spans="1:11" ht="14.25" customHeight="1" x14ac:dyDescent="0.3">
      <c r="A114" s="6">
        <v>45530</v>
      </c>
      <c r="B114" s="7" t="s">
        <v>12</v>
      </c>
      <c r="C114" s="8">
        <v>1300</v>
      </c>
      <c r="D114" s="8">
        <v>71</v>
      </c>
      <c r="E114" s="8">
        <v>186454</v>
      </c>
      <c r="F114" s="7">
        <v>3.91</v>
      </c>
      <c r="G114" s="22">
        <v>9942</v>
      </c>
      <c r="H114" s="20">
        <f t="shared" si="12"/>
        <v>7290.3514000000005</v>
      </c>
      <c r="I114" s="10">
        <f t="shared" si="13"/>
        <v>1229</v>
      </c>
      <c r="J114" t="str">
        <f t="shared" si="14"/>
        <v/>
      </c>
      <c r="K114" s="20">
        <f t="shared" si="15"/>
        <v>5.480742045454547</v>
      </c>
    </row>
    <row r="115" spans="1:11" ht="14.25" customHeight="1" x14ac:dyDescent="0.3">
      <c r="A115" s="6">
        <v>45537</v>
      </c>
      <c r="B115" s="7" t="s">
        <v>12</v>
      </c>
      <c r="C115" s="8">
        <v>557</v>
      </c>
      <c r="D115" s="8">
        <v>360</v>
      </c>
      <c r="E115" s="8">
        <v>318779</v>
      </c>
      <c r="F115" s="7">
        <v>8.02</v>
      </c>
      <c r="G115" s="22">
        <v>25797</v>
      </c>
      <c r="H115" s="20">
        <f t="shared" si="12"/>
        <v>25566.075800000002</v>
      </c>
      <c r="I115" s="11">
        <f t="shared" si="13"/>
        <v>197</v>
      </c>
      <c r="J115" t="str">
        <f t="shared" si="14"/>
        <v/>
      </c>
      <c r="K115" s="20">
        <f t="shared" si="15"/>
        <v>5.4987965517241388</v>
      </c>
    </row>
    <row r="116" spans="1:11" ht="14.25" customHeight="1" x14ac:dyDescent="0.3">
      <c r="A116" s="6">
        <v>45544</v>
      </c>
      <c r="B116" s="7" t="s">
        <v>12</v>
      </c>
      <c r="C116" s="8">
        <v>751</v>
      </c>
      <c r="D116" s="8">
        <v>491</v>
      </c>
      <c r="E116" s="8">
        <v>434047</v>
      </c>
      <c r="F116" s="7">
        <v>9.24</v>
      </c>
      <c r="G116" s="22">
        <v>15476</v>
      </c>
      <c r="H116" s="20">
        <f t="shared" si="12"/>
        <v>40105.942800000004</v>
      </c>
      <c r="I116" s="10">
        <f t="shared" si="13"/>
        <v>260</v>
      </c>
      <c r="J116" t="str">
        <f t="shared" si="14"/>
        <v/>
      </c>
      <c r="K116" s="20">
        <f t="shared" si="15"/>
        <v>5.4694802325581398</v>
      </c>
    </row>
    <row r="117" spans="1:11" ht="14.25" customHeight="1" x14ac:dyDescent="0.3">
      <c r="A117" s="6">
        <v>45551</v>
      </c>
      <c r="B117" s="7" t="s">
        <v>12</v>
      </c>
      <c r="C117" s="8">
        <v>1472</v>
      </c>
      <c r="D117" s="8">
        <v>347</v>
      </c>
      <c r="E117" s="8">
        <v>392355</v>
      </c>
      <c r="F117" s="7">
        <v>8.59</v>
      </c>
      <c r="G117" s="22">
        <v>30270</v>
      </c>
      <c r="H117" s="20">
        <f t="shared" si="12"/>
        <v>33703.294499999996</v>
      </c>
      <c r="I117" s="11">
        <f t="shared" si="13"/>
        <v>1125</v>
      </c>
      <c r="J117" t="str">
        <f t="shared" si="14"/>
        <v/>
      </c>
      <c r="K117" s="20">
        <f t="shared" si="15"/>
        <v>5.4251211764705891</v>
      </c>
    </row>
    <row r="118" spans="1:11" ht="14.25" customHeight="1" x14ac:dyDescent="0.3">
      <c r="A118" s="6">
        <v>45558</v>
      </c>
      <c r="B118" s="7" t="s">
        <v>12</v>
      </c>
      <c r="C118" s="8">
        <v>1911</v>
      </c>
      <c r="D118" s="8">
        <v>231</v>
      </c>
      <c r="E118" s="8">
        <v>268516</v>
      </c>
      <c r="F118" s="7">
        <v>8.5500000000000007</v>
      </c>
      <c r="G118" s="22">
        <v>24018</v>
      </c>
      <c r="H118" s="20">
        <f t="shared" si="12"/>
        <v>22958.118000000002</v>
      </c>
      <c r="I118" s="10">
        <f t="shared" si="13"/>
        <v>1680</v>
      </c>
      <c r="J118" t="str">
        <f t="shared" si="14"/>
        <v/>
      </c>
      <c r="K118" s="20">
        <f t="shared" si="15"/>
        <v>5.3874440476190486</v>
      </c>
    </row>
    <row r="119" spans="1:11" ht="14.25" customHeight="1" x14ac:dyDescent="0.3">
      <c r="A119" s="6">
        <v>45565</v>
      </c>
      <c r="B119" s="7" t="s">
        <v>12</v>
      </c>
      <c r="C119" s="8">
        <v>752</v>
      </c>
      <c r="D119" s="8">
        <v>153</v>
      </c>
      <c r="E119" s="8">
        <v>64906</v>
      </c>
      <c r="F119" s="7">
        <v>2.09</v>
      </c>
      <c r="G119" s="22">
        <v>12148</v>
      </c>
      <c r="H119" s="20">
        <f t="shared" si="12"/>
        <v>1356.5353999999998</v>
      </c>
      <c r="I119" s="11">
        <f t="shared" si="13"/>
        <v>599</v>
      </c>
      <c r="J119" t="str">
        <f t="shared" si="14"/>
        <v/>
      </c>
      <c r="K119" s="20">
        <f t="shared" si="15"/>
        <v>5.3493409638554219</v>
      </c>
    </row>
    <row r="120" spans="1:11" ht="14.25" customHeight="1" x14ac:dyDescent="0.3">
      <c r="A120" s="6">
        <v>45572</v>
      </c>
      <c r="B120" s="7" t="s">
        <v>12</v>
      </c>
      <c r="C120" s="8">
        <v>437</v>
      </c>
      <c r="D120" s="8">
        <v>330</v>
      </c>
      <c r="E120" s="8">
        <v>476486</v>
      </c>
      <c r="F120" s="7">
        <v>4.97</v>
      </c>
      <c r="G120" s="22">
        <v>4509</v>
      </c>
      <c r="H120" s="20">
        <f t="shared" si="12"/>
        <v>23681.354199999998</v>
      </c>
      <c r="I120" s="10">
        <f t="shared" si="13"/>
        <v>107</v>
      </c>
      <c r="J120" t="str">
        <f t="shared" si="14"/>
        <v>FestiveRadiance</v>
      </c>
      <c r="K120" s="20">
        <f t="shared" si="15"/>
        <v>5.3890890243902438</v>
      </c>
    </row>
    <row r="121" spans="1:11" ht="14.25" customHeight="1" x14ac:dyDescent="0.3">
      <c r="A121" s="6">
        <v>45579</v>
      </c>
      <c r="B121" s="7" t="s">
        <v>12</v>
      </c>
      <c r="C121" s="8">
        <v>201</v>
      </c>
      <c r="D121" s="8">
        <v>221</v>
      </c>
      <c r="E121" s="8">
        <v>309772</v>
      </c>
      <c r="F121" s="7">
        <v>5.9</v>
      </c>
      <c r="G121" s="22">
        <v>33174</v>
      </c>
      <c r="H121" s="20">
        <f t="shared" si="12"/>
        <v>18276.547999999999</v>
      </c>
      <c r="I121" s="11">
        <f t="shared" si="13"/>
        <v>-20</v>
      </c>
      <c r="J121" t="str">
        <f t="shared" si="14"/>
        <v>FestiveRadiance</v>
      </c>
      <c r="K121" s="20">
        <f t="shared" si="15"/>
        <v>5.394262962962963</v>
      </c>
    </row>
    <row r="122" spans="1:11" ht="14.25" customHeight="1" x14ac:dyDescent="0.3">
      <c r="A122" s="6">
        <v>45586</v>
      </c>
      <c r="B122" s="7" t="s">
        <v>12</v>
      </c>
      <c r="C122" s="8">
        <v>697</v>
      </c>
      <c r="D122" s="8">
        <v>61</v>
      </c>
      <c r="E122" s="8">
        <v>258287</v>
      </c>
      <c r="F122" s="7">
        <v>8.25</v>
      </c>
      <c r="G122" s="22">
        <v>21208</v>
      </c>
      <c r="H122" s="20">
        <f t="shared" si="12"/>
        <v>21308.677500000002</v>
      </c>
      <c r="I122" s="10">
        <f t="shared" si="13"/>
        <v>636</v>
      </c>
      <c r="J122" t="str">
        <f t="shared" si="14"/>
        <v>FestiveRadiance</v>
      </c>
      <c r="K122" s="20">
        <f t="shared" si="15"/>
        <v>5.3879412500000008</v>
      </c>
    </row>
    <row r="123" spans="1:11" ht="14.25" customHeight="1" x14ac:dyDescent="0.3">
      <c r="A123" s="6">
        <v>45593</v>
      </c>
      <c r="B123" s="7" t="s">
        <v>12</v>
      </c>
      <c r="C123" s="8">
        <v>191</v>
      </c>
      <c r="D123" s="8">
        <v>154</v>
      </c>
      <c r="E123" s="8">
        <v>240550</v>
      </c>
      <c r="F123" s="7">
        <v>5.22</v>
      </c>
      <c r="G123" s="22">
        <v>15827</v>
      </c>
      <c r="H123" s="20">
        <f t="shared" si="12"/>
        <v>12556.71</v>
      </c>
      <c r="I123" s="11">
        <f t="shared" si="13"/>
        <v>37</v>
      </c>
      <c r="J123" t="str">
        <f t="shared" si="14"/>
        <v>FestiveRadiance</v>
      </c>
      <c r="K123" s="20">
        <f t="shared" si="15"/>
        <v>5.3517126582278483</v>
      </c>
    </row>
    <row r="124" spans="1:11" ht="14.25" customHeight="1" x14ac:dyDescent="0.3">
      <c r="A124" s="6">
        <v>45600</v>
      </c>
      <c r="B124" s="7" t="s">
        <v>12</v>
      </c>
      <c r="C124" s="8">
        <v>1821</v>
      </c>
      <c r="D124" s="8">
        <v>218</v>
      </c>
      <c r="E124" s="8">
        <v>439080</v>
      </c>
      <c r="F124" s="7">
        <v>5.68</v>
      </c>
      <c r="G124" s="22">
        <v>36095</v>
      </c>
      <c r="H124" s="20">
        <f t="shared" si="12"/>
        <v>24939.743999999999</v>
      </c>
      <c r="I124" s="10">
        <f t="shared" si="13"/>
        <v>1603</v>
      </c>
      <c r="J124" t="str">
        <f t="shared" si="14"/>
        <v/>
      </c>
      <c r="K124" s="20">
        <f t="shared" si="15"/>
        <v>5.3534012820512826</v>
      </c>
    </row>
    <row r="125" spans="1:11" ht="14.25" customHeight="1" x14ac:dyDescent="0.3">
      <c r="A125" s="6">
        <v>45607</v>
      </c>
      <c r="B125" s="7" t="s">
        <v>12</v>
      </c>
      <c r="C125" s="8">
        <v>1487</v>
      </c>
      <c r="D125" s="8">
        <v>337</v>
      </c>
      <c r="E125" s="8">
        <v>87305</v>
      </c>
      <c r="F125" s="7">
        <v>2.46</v>
      </c>
      <c r="G125" s="22">
        <v>30428</v>
      </c>
      <c r="H125" s="20">
        <f t="shared" si="12"/>
        <v>2147.703</v>
      </c>
      <c r="I125" s="11">
        <f t="shared" si="13"/>
        <v>1150</v>
      </c>
      <c r="J125" t="str">
        <f t="shared" si="14"/>
        <v/>
      </c>
      <c r="K125" s="20">
        <f t="shared" si="15"/>
        <v>5.3491597402597408</v>
      </c>
    </row>
    <row r="126" spans="1:11" ht="14.25" customHeight="1" x14ac:dyDescent="0.3">
      <c r="A126" s="6">
        <v>45614</v>
      </c>
      <c r="B126" s="7" t="s">
        <v>12</v>
      </c>
      <c r="C126" s="8">
        <v>628</v>
      </c>
      <c r="D126" s="8">
        <v>183</v>
      </c>
      <c r="E126" s="8">
        <v>487523</v>
      </c>
      <c r="F126" s="7">
        <v>7.32</v>
      </c>
      <c r="G126" s="22">
        <v>5391</v>
      </c>
      <c r="H126" s="20">
        <f t="shared" si="12"/>
        <v>35686.683600000004</v>
      </c>
      <c r="I126" s="10">
        <f t="shared" si="13"/>
        <v>445</v>
      </c>
      <c r="J126" t="str">
        <f t="shared" si="14"/>
        <v/>
      </c>
      <c r="K126" s="20">
        <f t="shared" si="15"/>
        <v>5.3871750000000009</v>
      </c>
    </row>
    <row r="127" spans="1:11" ht="14.25" customHeight="1" x14ac:dyDescent="0.3">
      <c r="A127" s="6">
        <v>45621</v>
      </c>
      <c r="B127" s="7" t="s">
        <v>12</v>
      </c>
      <c r="C127" s="8">
        <v>330</v>
      </c>
      <c r="D127" s="8">
        <v>232</v>
      </c>
      <c r="E127" s="8">
        <v>88455</v>
      </c>
      <c r="F127" s="7">
        <v>2.69</v>
      </c>
      <c r="G127" s="22">
        <v>39530</v>
      </c>
      <c r="H127" s="20">
        <f t="shared" si="12"/>
        <v>2379.4395</v>
      </c>
      <c r="I127" s="11">
        <f t="shared" si="13"/>
        <v>98</v>
      </c>
      <c r="J127" t="str">
        <f t="shared" si="14"/>
        <v/>
      </c>
      <c r="K127" s="20">
        <f t="shared" si="15"/>
        <v>5.3614040000000012</v>
      </c>
    </row>
    <row r="128" spans="1:11" ht="14.25" customHeight="1" x14ac:dyDescent="0.3">
      <c r="A128" s="6">
        <v>45628</v>
      </c>
      <c r="B128" s="7" t="s">
        <v>12</v>
      </c>
      <c r="C128" s="8">
        <v>1441</v>
      </c>
      <c r="D128" s="8">
        <v>268</v>
      </c>
      <c r="E128" s="8">
        <v>309904</v>
      </c>
      <c r="F128" s="7">
        <v>6.37</v>
      </c>
      <c r="G128" s="22">
        <v>3455</v>
      </c>
      <c r="H128" s="20">
        <f t="shared" si="12"/>
        <v>19740.8848</v>
      </c>
      <c r="I128" s="10">
        <f t="shared" si="13"/>
        <v>1173</v>
      </c>
      <c r="J128" t="str">
        <f t="shared" si="14"/>
        <v/>
      </c>
      <c r="K128" s="20">
        <f t="shared" si="15"/>
        <v>5.3975040540540542</v>
      </c>
    </row>
    <row r="129" spans="1:11" ht="14.25" customHeight="1" x14ac:dyDescent="0.3">
      <c r="A129" s="6">
        <v>45635</v>
      </c>
      <c r="B129" s="7" t="s">
        <v>12</v>
      </c>
      <c r="C129" s="8">
        <v>1937</v>
      </c>
      <c r="D129" s="8">
        <v>210</v>
      </c>
      <c r="E129" s="8">
        <v>20607</v>
      </c>
      <c r="F129" s="7">
        <v>4.2</v>
      </c>
      <c r="G129" s="22">
        <v>20861</v>
      </c>
      <c r="H129" s="20">
        <f t="shared" si="12"/>
        <v>865.49400000000014</v>
      </c>
      <c r="I129" s="11">
        <f t="shared" si="13"/>
        <v>1727</v>
      </c>
      <c r="J129" t="str">
        <f t="shared" si="14"/>
        <v/>
      </c>
      <c r="K129" s="20">
        <f t="shared" si="15"/>
        <v>5.3841821917808224</v>
      </c>
    </row>
    <row r="130" spans="1:11" ht="14.25" customHeight="1" x14ac:dyDescent="0.3">
      <c r="A130" s="6">
        <v>45642</v>
      </c>
      <c r="B130" s="7" t="s">
        <v>12</v>
      </c>
      <c r="C130" s="8">
        <v>1592</v>
      </c>
      <c r="D130" s="8">
        <v>233</v>
      </c>
      <c r="E130" s="8">
        <v>327183</v>
      </c>
      <c r="F130" s="7">
        <v>6.66</v>
      </c>
      <c r="G130" s="22">
        <v>13316</v>
      </c>
      <c r="H130" s="20">
        <f t="shared" ref="H130:H161" si="16">E130 * F130 / 100</f>
        <v>21790.387800000004</v>
      </c>
      <c r="I130" s="10">
        <f t="shared" ref="I130:I161" si="17" xml:space="preserve"> C130 - D130</f>
        <v>1359</v>
      </c>
      <c r="J130" t="str">
        <f t="shared" ref="J130:J161" si="18">IF(AND(A130&gt;=DATE(2024,6,15), A130&lt;=DATE(2024,7,15)), "SummerSplash",
 IF(AND(A130&gt;=DATE(2024,10,1), A130&lt;=DATE(2024,10,31)), "FestiveRadiance",
 IF(AND(A130&gt;=DATE(2024,12,25), A130&lt;=DATE(2025,1,10)), "NewYearRefresh",
 IF(AND(A130&gt;=DATE(2025,3,1), A130&lt;=DATE(2025,3,31)), "DailyWellness", ""))))</f>
        <v/>
      </c>
      <c r="K130" s="20">
        <f t="shared" ref="K130:K161" si="19">AVERAGE(F130:F329)</f>
        <v>5.4006291666666666</v>
      </c>
    </row>
    <row r="131" spans="1:11" ht="14.25" customHeight="1" x14ac:dyDescent="0.3">
      <c r="A131" s="6">
        <v>45649</v>
      </c>
      <c r="B131" s="7" t="s">
        <v>12</v>
      </c>
      <c r="C131" s="8">
        <v>1137</v>
      </c>
      <c r="D131" s="8">
        <v>226</v>
      </c>
      <c r="E131" s="8">
        <v>81119</v>
      </c>
      <c r="F131" s="7">
        <v>7.74</v>
      </c>
      <c r="G131" s="22">
        <v>35359</v>
      </c>
      <c r="H131" s="20">
        <f t="shared" si="16"/>
        <v>6278.6106000000009</v>
      </c>
      <c r="I131" s="11">
        <f t="shared" si="17"/>
        <v>911</v>
      </c>
      <c r="J131" t="str">
        <f t="shared" si="18"/>
        <v/>
      </c>
      <c r="K131" s="20">
        <f t="shared" si="19"/>
        <v>5.382891549295775</v>
      </c>
    </row>
    <row r="132" spans="1:11" ht="14.25" customHeight="1" x14ac:dyDescent="0.3">
      <c r="A132" s="6">
        <v>45656</v>
      </c>
      <c r="B132" s="7" t="s">
        <v>12</v>
      </c>
      <c r="C132" s="8">
        <v>1786</v>
      </c>
      <c r="D132" s="8">
        <v>257</v>
      </c>
      <c r="E132" s="8">
        <v>274831</v>
      </c>
      <c r="F132" s="7">
        <v>4.68</v>
      </c>
      <c r="G132" s="22">
        <v>9118</v>
      </c>
      <c r="H132" s="20">
        <f t="shared" si="16"/>
        <v>12862.090799999998</v>
      </c>
      <c r="I132" s="10">
        <f t="shared" si="17"/>
        <v>1529</v>
      </c>
      <c r="J132" t="str">
        <f t="shared" si="18"/>
        <v>NewYearRefresh</v>
      </c>
      <c r="K132" s="20">
        <f t="shared" si="19"/>
        <v>5.3492185714285716</v>
      </c>
    </row>
    <row r="133" spans="1:11" ht="14.25" customHeight="1" x14ac:dyDescent="0.3">
      <c r="A133" s="6">
        <v>45663</v>
      </c>
      <c r="B133" s="7" t="s">
        <v>12</v>
      </c>
      <c r="C133" s="8">
        <v>1633</v>
      </c>
      <c r="D133" s="8">
        <v>445</v>
      </c>
      <c r="E133" s="8">
        <v>371156</v>
      </c>
      <c r="F133" s="7">
        <v>2.2200000000000002</v>
      </c>
      <c r="G133" s="22">
        <v>2798</v>
      </c>
      <c r="H133" s="20">
        <f t="shared" si="16"/>
        <v>8239.6632000000009</v>
      </c>
      <c r="I133" s="11">
        <f t="shared" si="17"/>
        <v>1188</v>
      </c>
      <c r="J133" t="str">
        <f t="shared" si="18"/>
        <v>NewYearRefresh</v>
      </c>
      <c r="K133" s="20">
        <f t="shared" si="19"/>
        <v>5.358917391304348</v>
      </c>
    </row>
    <row r="134" spans="1:11" ht="14.25" customHeight="1" x14ac:dyDescent="0.3">
      <c r="A134" s="6">
        <v>45670</v>
      </c>
      <c r="B134" s="7" t="s">
        <v>12</v>
      </c>
      <c r="C134" s="8">
        <v>118</v>
      </c>
      <c r="D134" s="8">
        <v>262</v>
      </c>
      <c r="E134" s="8">
        <v>487896</v>
      </c>
      <c r="F134" s="7">
        <v>2.56</v>
      </c>
      <c r="G134" s="22">
        <v>12350</v>
      </c>
      <c r="H134" s="20">
        <f t="shared" si="16"/>
        <v>12490.1376</v>
      </c>
      <c r="I134" s="10">
        <f t="shared" si="17"/>
        <v>-144</v>
      </c>
      <c r="J134" t="str">
        <f t="shared" si="18"/>
        <v/>
      </c>
      <c r="K134" s="20">
        <f t="shared" si="19"/>
        <v>5.4050779411764713</v>
      </c>
    </row>
    <row r="135" spans="1:11" ht="14.25" customHeight="1" x14ac:dyDescent="0.3">
      <c r="A135" s="6">
        <v>45677</v>
      </c>
      <c r="B135" s="7" t="s">
        <v>12</v>
      </c>
      <c r="C135" s="8">
        <v>1040</v>
      </c>
      <c r="D135" s="8">
        <v>149</v>
      </c>
      <c r="E135" s="8">
        <v>124404</v>
      </c>
      <c r="F135" s="7">
        <v>5.23</v>
      </c>
      <c r="G135" s="22">
        <v>45380</v>
      </c>
      <c r="H135" s="20">
        <f t="shared" si="16"/>
        <v>6506.3292000000001</v>
      </c>
      <c r="I135" s="11">
        <f t="shared" si="17"/>
        <v>891</v>
      </c>
      <c r="J135" t="str">
        <f t="shared" si="18"/>
        <v/>
      </c>
      <c r="K135" s="20">
        <f t="shared" si="19"/>
        <v>5.4475417910447765</v>
      </c>
    </row>
    <row r="136" spans="1:11" ht="14.25" customHeight="1" x14ac:dyDescent="0.3">
      <c r="A136" s="6">
        <v>45684</v>
      </c>
      <c r="B136" s="7" t="s">
        <v>12</v>
      </c>
      <c r="C136" s="8">
        <v>1501</v>
      </c>
      <c r="D136" s="8">
        <v>75</v>
      </c>
      <c r="E136" s="8">
        <v>262569</v>
      </c>
      <c r="F136" s="7">
        <v>2.0099999999999998</v>
      </c>
      <c r="G136" s="22">
        <v>19119</v>
      </c>
      <c r="H136" s="20">
        <f t="shared" si="16"/>
        <v>5277.6368999999995</v>
      </c>
      <c r="I136" s="10">
        <f t="shared" si="17"/>
        <v>1426</v>
      </c>
      <c r="J136" t="str">
        <f t="shared" si="18"/>
        <v/>
      </c>
      <c r="K136" s="20">
        <f t="shared" si="19"/>
        <v>5.4508378787878797</v>
      </c>
    </row>
    <row r="137" spans="1:11" ht="14.25" customHeight="1" x14ac:dyDescent="0.3">
      <c r="A137" s="6">
        <v>45691</v>
      </c>
      <c r="B137" s="7" t="s">
        <v>12</v>
      </c>
      <c r="C137" s="8">
        <v>927</v>
      </c>
      <c r="D137" s="8">
        <v>358</v>
      </c>
      <c r="E137" s="8">
        <v>177554</v>
      </c>
      <c r="F137" s="7">
        <v>6.95</v>
      </c>
      <c r="G137" s="22">
        <v>48270</v>
      </c>
      <c r="H137" s="20">
        <f t="shared" si="16"/>
        <v>12340.003000000001</v>
      </c>
      <c r="I137" s="11">
        <f t="shared" si="17"/>
        <v>569</v>
      </c>
      <c r="J137" t="str">
        <f t="shared" si="18"/>
        <v/>
      </c>
      <c r="K137" s="20">
        <f t="shared" si="19"/>
        <v>5.5037738461538472</v>
      </c>
    </row>
    <row r="138" spans="1:11" ht="14.25" customHeight="1" x14ac:dyDescent="0.3">
      <c r="A138" s="6">
        <v>45698</v>
      </c>
      <c r="B138" s="7" t="s">
        <v>12</v>
      </c>
      <c r="C138" s="8">
        <v>1587</v>
      </c>
      <c r="D138" s="8">
        <v>385</v>
      </c>
      <c r="E138" s="8">
        <v>126582</v>
      </c>
      <c r="F138" s="7">
        <v>6.99</v>
      </c>
      <c r="G138" s="22">
        <v>42832</v>
      </c>
      <c r="H138" s="20">
        <f t="shared" si="16"/>
        <v>8848.0817999999999</v>
      </c>
      <c r="I138" s="10">
        <f t="shared" si="17"/>
        <v>1202</v>
      </c>
      <c r="J138" t="str">
        <f t="shared" si="18"/>
        <v/>
      </c>
      <c r="K138" s="20">
        <f t="shared" si="19"/>
        <v>5.4811765625000008</v>
      </c>
    </row>
    <row r="139" spans="1:11" ht="14.25" customHeight="1" x14ac:dyDescent="0.3">
      <c r="A139" s="6">
        <v>45705</v>
      </c>
      <c r="B139" s="7" t="s">
        <v>12</v>
      </c>
      <c r="C139" s="8">
        <v>362</v>
      </c>
      <c r="D139" s="8">
        <v>399</v>
      </c>
      <c r="E139" s="8">
        <v>145608</v>
      </c>
      <c r="F139" s="7">
        <v>7.3</v>
      </c>
      <c r="G139" s="22">
        <v>37636</v>
      </c>
      <c r="H139" s="20">
        <f t="shared" si="16"/>
        <v>10629.383999999998</v>
      </c>
      <c r="I139" s="11">
        <f t="shared" si="17"/>
        <v>-37</v>
      </c>
      <c r="J139" t="str">
        <f t="shared" si="18"/>
        <v/>
      </c>
      <c r="K139" s="20">
        <f t="shared" si="19"/>
        <v>5.4572269841269838</v>
      </c>
    </row>
    <row r="140" spans="1:11" ht="14.25" customHeight="1" x14ac:dyDescent="0.3">
      <c r="A140" s="6">
        <v>45712</v>
      </c>
      <c r="B140" s="7" t="s">
        <v>12</v>
      </c>
      <c r="C140" s="8">
        <v>861</v>
      </c>
      <c r="D140" s="8">
        <v>153</v>
      </c>
      <c r="E140" s="8">
        <v>317007</v>
      </c>
      <c r="F140" s="7">
        <v>3.85</v>
      </c>
      <c r="G140" s="22">
        <v>8718</v>
      </c>
      <c r="H140" s="20">
        <f t="shared" si="16"/>
        <v>12204.7695</v>
      </c>
      <c r="I140" s="10">
        <f t="shared" si="17"/>
        <v>708</v>
      </c>
      <c r="J140" t="str">
        <f t="shared" si="18"/>
        <v/>
      </c>
      <c r="K140" s="20">
        <f t="shared" si="19"/>
        <v>5.4275048387096767</v>
      </c>
    </row>
    <row r="141" spans="1:11" ht="14.25" customHeight="1" x14ac:dyDescent="0.3">
      <c r="A141" s="6">
        <v>45719</v>
      </c>
      <c r="B141" s="7" t="s">
        <v>12</v>
      </c>
      <c r="C141" s="8">
        <v>946</v>
      </c>
      <c r="D141" s="8">
        <v>47</v>
      </c>
      <c r="E141" s="8">
        <v>466575</v>
      </c>
      <c r="F141" s="7">
        <v>8.33</v>
      </c>
      <c r="G141" s="22">
        <v>10002</v>
      </c>
      <c r="H141" s="20">
        <f t="shared" si="16"/>
        <v>38865.697500000002</v>
      </c>
      <c r="I141" s="11">
        <f t="shared" si="17"/>
        <v>899</v>
      </c>
      <c r="J141" t="str">
        <f t="shared" si="18"/>
        <v>DailyWellness</v>
      </c>
      <c r="K141" s="20">
        <f t="shared" si="19"/>
        <v>5.4533655737704922</v>
      </c>
    </row>
    <row r="142" spans="1:11" ht="14.25" customHeight="1" x14ac:dyDescent="0.3">
      <c r="A142" s="6">
        <v>45726</v>
      </c>
      <c r="B142" s="7" t="s">
        <v>12</v>
      </c>
      <c r="C142" s="8">
        <v>1399</v>
      </c>
      <c r="D142" s="8">
        <v>49</v>
      </c>
      <c r="E142" s="8">
        <v>12471</v>
      </c>
      <c r="F142" s="7">
        <v>5.12</v>
      </c>
      <c r="G142" s="22">
        <v>14722</v>
      </c>
      <c r="H142" s="20">
        <f t="shared" si="16"/>
        <v>638.51520000000005</v>
      </c>
      <c r="I142" s="10">
        <f t="shared" si="17"/>
        <v>1350</v>
      </c>
      <c r="J142" t="str">
        <f t="shared" si="18"/>
        <v>DailyWellness</v>
      </c>
      <c r="K142" s="20">
        <f t="shared" si="19"/>
        <v>5.4054216666666672</v>
      </c>
    </row>
    <row r="143" spans="1:11" ht="14.25" customHeight="1" x14ac:dyDescent="0.3">
      <c r="A143" s="6">
        <v>45733</v>
      </c>
      <c r="B143" s="7" t="s">
        <v>12</v>
      </c>
      <c r="C143" s="8">
        <v>1077</v>
      </c>
      <c r="D143" s="8">
        <v>216</v>
      </c>
      <c r="E143" s="8">
        <v>12447</v>
      </c>
      <c r="F143" s="7">
        <v>1.8</v>
      </c>
      <c r="G143" s="22">
        <v>14068</v>
      </c>
      <c r="H143" s="20">
        <f t="shared" si="16"/>
        <v>224.04600000000002</v>
      </c>
      <c r="I143" s="11">
        <f t="shared" si="17"/>
        <v>861</v>
      </c>
      <c r="J143" t="str">
        <f t="shared" si="18"/>
        <v>DailyWellness</v>
      </c>
      <c r="K143" s="20">
        <f t="shared" si="19"/>
        <v>5.4102593220338999</v>
      </c>
    </row>
    <row r="144" spans="1:11" ht="14.25" customHeight="1" x14ac:dyDescent="0.3">
      <c r="A144" s="6">
        <v>45740</v>
      </c>
      <c r="B144" s="7" t="s">
        <v>12</v>
      </c>
      <c r="C144" s="8">
        <v>364</v>
      </c>
      <c r="D144" s="8">
        <v>72</v>
      </c>
      <c r="E144" s="8">
        <v>211090</v>
      </c>
      <c r="F144" s="7">
        <v>5.4452999999999996</v>
      </c>
      <c r="G144" s="22">
        <v>21061</v>
      </c>
      <c r="H144" s="20">
        <f t="shared" si="16"/>
        <v>11494.483769999999</v>
      </c>
      <c r="I144" s="10">
        <f t="shared" si="17"/>
        <v>292</v>
      </c>
      <c r="J144" t="str">
        <f t="shared" si="18"/>
        <v>DailyWellness</v>
      </c>
      <c r="K144" s="20">
        <f t="shared" si="19"/>
        <v>5.4725051724137943</v>
      </c>
    </row>
    <row r="145" spans="1:11" ht="14.25" customHeight="1" x14ac:dyDescent="0.3">
      <c r="A145" s="6">
        <v>45747</v>
      </c>
      <c r="B145" s="7" t="s">
        <v>12</v>
      </c>
      <c r="C145" s="8">
        <v>1946</v>
      </c>
      <c r="D145" s="8">
        <v>270</v>
      </c>
      <c r="E145" s="8">
        <v>198350</v>
      </c>
      <c r="F145" s="7">
        <v>7.5</v>
      </c>
      <c r="G145" s="22">
        <v>11805</v>
      </c>
      <c r="H145" s="20">
        <f t="shared" si="16"/>
        <v>14876.25</v>
      </c>
      <c r="I145" s="11">
        <f t="shared" si="17"/>
        <v>1676</v>
      </c>
      <c r="J145" t="str">
        <f t="shared" si="18"/>
        <v>DailyWellness</v>
      </c>
      <c r="K145" s="20">
        <f t="shared" si="19"/>
        <v>5.4729824561403522</v>
      </c>
    </row>
    <row r="146" spans="1:11" ht="14.25" customHeight="1" x14ac:dyDescent="0.3">
      <c r="A146" s="6">
        <v>45754</v>
      </c>
      <c r="B146" s="7" t="s">
        <v>12</v>
      </c>
      <c r="C146" s="8">
        <v>1432</v>
      </c>
      <c r="D146" s="8">
        <v>425</v>
      </c>
      <c r="E146" s="8">
        <v>29589</v>
      </c>
      <c r="F146" s="7">
        <v>4.5</v>
      </c>
      <c r="G146" s="22">
        <v>42964</v>
      </c>
      <c r="H146" s="20">
        <f t="shared" si="16"/>
        <v>1331.5050000000001</v>
      </c>
      <c r="I146" s="10">
        <f t="shared" si="17"/>
        <v>1007</v>
      </c>
      <c r="J146" t="str">
        <f t="shared" si="18"/>
        <v/>
      </c>
      <c r="K146" s="20">
        <f t="shared" si="19"/>
        <v>5.4367857142857163</v>
      </c>
    </row>
    <row r="147" spans="1:11" ht="14.25" customHeight="1" x14ac:dyDescent="0.3">
      <c r="A147" s="6">
        <v>45761</v>
      </c>
      <c r="B147" s="7" t="s">
        <v>12</v>
      </c>
      <c r="C147" s="8">
        <v>353</v>
      </c>
      <c r="D147" s="8">
        <v>300</v>
      </c>
      <c r="E147" s="8">
        <v>142507</v>
      </c>
      <c r="F147" s="7">
        <v>5.3</v>
      </c>
      <c r="G147" s="22">
        <v>11035</v>
      </c>
      <c r="H147" s="20">
        <f t="shared" si="16"/>
        <v>7552.8710000000001</v>
      </c>
      <c r="I147" s="11">
        <f t="shared" si="17"/>
        <v>53</v>
      </c>
      <c r="J147" t="str">
        <f t="shared" si="18"/>
        <v/>
      </c>
      <c r="K147" s="20">
        <f t="shared" si="19"/>
        <v>5.4538181818181837</v>
      </c>
    </row>
    <row r="148" spans="1:11" ht="14.25" customHeight="1" x14ac:dyDescent="0.3">
      <c r="A148" s="6">
        <v>45768</v>
      </c>
      <c r="B148" s="7" t="s">
        <v>12</v>
      </c>
      <c r="C148" s="8">
        <v>1147</v>
      </c>
      <c r="D148" s="8">
        <v>388</v>
      </c>
      <c r="E148" s="8">
        <v>333851</v>
      </c>
      <c r="F148" s="7">
        <v>2.44</v>
      </c>
      <c r="G148" s="22">
        <v>8471</v>
      </c>
      <c r="H148" s="20">
        <f t="shared" si="16"/>
        <v>8145.9643999999998</v>
      </c>
      <c r="I148" s="10">
        <f t="shared" si="17"/>
        <v>759</v>
      </c>
      <c r="J148" t="str">
        <f t="shared" si="18"/>
        <v/>
      </c>
      <c r="K148" s="20">
        <f t="shared" si="19"/>
        <v>5.4566666666666679</v>
      </c>
    </row>
    <row r="149" spans="1:11" ht="14.25" customHeight="1" x14ac:dyDescent="0.3">
      <c r="A149" s="6">
        <v>45775</v>
      </c>
      <c r="B149" s="7" t="s">
        <v>12</v>
      </c>
      <c r="C149" s="8">
        <v>1222</v>
      </c>
      <c r="D149" s="8">
        <v>274</v>
      </c>
      <c r="E149" s="8">
        <v>487289</v>
      </c>
      <c r="F149" s="7">
        <v>3.16</v>
      </c>
      <c r="G149" s="22">
        <v>32500</v>
      </c>
      <c r="H149" s="20">
        <f t="shared" si="16"/>
        <v>15398.332399999999</v>
      </c>
      <c r="I149" s="11">
        <f t="shared" si="17"/>
        <v>948</v>
      </c>
      <c r="J149" t="str">
        <f t="shared" si="18"/>
        <v/>
      </c>
      <c r="K149" s="20">
        <f t="shared" si="19"/>
        <v>5.5135849056603785</v>
      </c>
    </row>
    <row r="150" spans="1:11" ht="14.25" customHeight="1" x14ac:dyDescent="0.3">
      <c r="A150" s="6">
        <v>45782</v>
      </c>
      <c r="B150" s="7" t="s">
        <v>12</v>
      </c>
      <c r="C150" s="8">
        <v>1581</v>
      </c>
      <c r="D150" s="8">
        <v>71</v>
      </c>
      <c r="E150" s="8">
        <v>484364</v>
      </c>
      <c r="F150" s="7">
        <v>3.55</v>
      </c>
      <c r="G150" s="22">
        <v>16149</v>
      </c>
      <c r="H150" s="20">
        <f t="shared" si="16"/>
        <v>17194.921999999999</v>
      </c>
      <c r="I150" s="10">
        <f t="shared" si="17"/>
        <v>1510</v>
      </c>
      <c r="J150" t="str">
        <f t="shared" si="18"/>
        <v/>
      </c>
      <c r="K150" s="20">
        <f t="shared" si="19"/>
        <v>5.5588461538461553</v>
      </c>
    </row>
    <row r="151" spans="1:11" ht="14.25" customHeight="1" x14ac:dyDescent="0.3">
      <c r="A151" s="6">
        <v>45789</v>
      </c>
      <c r="B151" s="7" t="s">
        <v>12</v>
      </c>
      <c r="C151" s="8">
        <v>337</v>
      </c>
      <c r="D151" s="8">
        <v>68</v>
      </c>
      <c r="E151" s="8">
        <v>456298</v>
      </c>
      <c r="F151" s="7">
        <v>7.57</v>
      </c>
      <c r="G151" s="22">
        <v>4007</v>
      </c>
      <c r="H151" s="20">
        <f t="shared" si="16"/>
        <v>34541.758600000001</v>
      </c>
      <c r="I151" s="11">
        <f t="shared" si="17"/>
        <v>269</v>
      </c>
      <c r="J151" t="str">
        <f t="shared" si="18"/>
        <v/>
      </c>
      <c r="K151" s="20">
        <f t="shared" si="19"/>
        <v>5.5982352941176465</v>
      </c>
    </row>
    <row r="152" spans="1:11" ht="14.25" customHeight="1" x14ac:dyDescent="0.3">
      <c r="A152" s="6">
        <v>45446</v>
      </c>
      <c r="B152" s="7" t="s">
        <v>13</v>
      </c>
      <c r="C152" s="8">
        <v>1535</v>
      </c>
      <c r="D152" s="8">
        <v>445</v>
      </c>
      <c r="E152" s="8">
        <v>395536</v>
      </c>
      <c r="F152" s="7">
        <v>4.1100000000000003</v>
      </c>
      <c r="G152" s="22">
        <v>30671</v>
      </c>
      <c r="H152" s="20">
        <f t="shared" si="16"/>
        <v>16256.529600000002</v>
      </c>
      <c r="I152" s="10">
        <f t="shared" si="17"/>
        <v>1090</v>
      </c>
      <c r="J152" t="str">
        <f t="shared" si="18"/>
        <v/>
      </c>
      <c r="K152" s="20">
        <f t="shared" si="19"/>
        <v>5.5587999999999997</v>
      </c>
    </row>
    <row r="153" spans="1:11" ht="14.25" customHeight="1" x14ac:dyDescent="0.3">
      <c r="A153" s="6">
        <v>45453</v>
      </c>
      <c r="B153" s="7" t="s">
        <v>13</v>
      </c>
      <c r="C153" s="8">
        <v>1197</v>
      </c>
      <c r="D153" s="8">
        <v>203</v>
      </c>
      <c r="E153" s="8">
        <v>413878</v>
      </c>
      <c r="F153" s="7">
        <v>3.16</v>
      </c>
      <c r="G153" s="22">
        <v>21205</v>
      </c>
      <c r="H153" s="20">
        <f t="shared" si="16"/>
        <v>13078.5448</v>
      </c>
      <c r="I153" s="11">
        <f t="shared" si="17"/>
        <v>994</v>
      </c>
      <c r="J153" t="str">
        <f t="shared" si="18"/>
        <v/>
      </c>
      <c r="K153" s="20">
        <f t="shared" si="19"/>
        <v>5.5883673469387753</v>
      </c>
    </row>
    <row r="154" spans="1:11" ht="14.25" customHeight="1" x14ac:dyDescent="0.3">
      <c r="A154" s="6">
        <v>45460</v>
      </c>
      <c r="B154" s="7" t="s">
        <v>13</v>
      </c>
      <c r="C154" s="8">
        <v>403</v>
      </c>
      <c r="D154" s="8">
        <v>66</v>
      </c>
      <c r="E154" s="8">
        <v>382851</v>
      </c>
      <c r="F154" s="7">
        <v>3.49</v>
      </c>
      <c r="G154" s="22">
        <v>24313</v>
      </c>
      <c r="H154" s="20">
        <f t="shared" si="16"/>
        <v>13361.499900000001</v>
      </c>
      <c r="I154" s="10">
        <f t="shared" si="17"/>
        <v>337</v>
      </c>
      <c r="J154" t="str">
        <f t="shared" si="18"/>
        <v>SummerSplash</v>
      </c>
      <c r="K154" s="20">
        <f t="shared" si="19"/>
        <v>5.638958333333334</v>
      </c>
    </row>
    <row r="155" spans="1:11" ht="14.25" customHeight="1" x14ac:dyDescent="0.3">
      <c r="A155" s="6">
        <v>45467</v>
      </c>
      <c r="B155" s="7" t="s">
        <v>13</v>
      </c>
      <c r="C155" s="8">
        <v>308</v>
      </c>
      <c r="D155" s="8">
        <v>431</v>
      </c>
      <c r="E155" s="8">
        <v>426184</v>
      </c>
      <c r="F155" s="7">
        <v>2.62</v>
      </c>
      <c r="G155" s="22">
        <v>1783</v>
      </c>
      <c r="H155" s="20">
        <f t="shared" si="16"/>
        <v>11166.0208</v>
      </c>
      <c r="I155" s="11">
        <f t="shared" si="17"/>
        <v>-123</v>
      </c>
      <c r="J155" t="str">
        <f t="shared" si="18"/>
        <v>SummerSplash</v>
      </c>
      <c r="K155" s="20">
        <f t="shared" si="19"/>
        <v>5.6846808510638303</v>
      </c>
    </row>
    <row r="156" spans="1:11" ht="14.25" customHeight="1" x14ac:dyDescent="0.3">
      <c r="A156" s="6">
        <v>45474</v>
      </c>
      <c r="B156" s="7" t="s">
        <v>13</v>
      </c>
      <c r="C156" s="8">
        <v>144</v>
      </c>
      <c r="D156" s="8">
        <v>53</v>
      </c>
      <c r="E156" s="8">
        <v>113678</v>
      </c>
      <c r="F156" s="7">
        <v>8.7200000000000006</v>
      </c>
      <c r="G156" s="22">
        <v>30060</v>
      </c>
      <c r="H156" s="20">
        <f t="shared" si="16"/>
        <v>9912.7216000000008</v>
      </c>
      <c r="I156" s="10">
        <f t="shared" si="17"/>
        <v>91</v>
      </c>
      <c r="J156" t="str">
        <f t="shared" si="18"/>
        <v>SummerSplash</v>
      </c>
      <c r="K156" s="20">
        <f t="shared" si="19"/>
        <v>5.7513043478260872</v>
      </c>
    </row>
    <row r="157" spans="1:11" ht="14.25" customHeight="1" x14ac:dyDescent="0.3">
      <c r="A157" s="6">
        <v>45481</v>
      </c>
      <c r="B157" s="7" t="s">
        <v>13</v>
      </c>
      <c r="C157" s="8">
        <v>883</v>
      </c>
      <c r="D157" s="8">
        <v>369</v>
      </c>
      <c r="E157" s="8">
        <v>233694</v>
      </c>
      <c r="F157" s="7">
        <v>2.88</v>
      </c>
      <c r="G157" s="22">
        <v>15071</v>
      </c>
      <c r="H157" s="20">
        <f t="shared" si="16"/>
        <v>6730.3872000000001</v>
      </c>
      <c r="I157" s="11">
        <f t="shared" si="17"/>
        <v>514</v>
      </c>
      <c r="J157" t="str">
        <f t="shared" si="18"/>
        <v>SummerSplash</v>
      </c>
      <c r="K157" s="20">
        <f t="shared" si="19"/>
        <v>5.6853333333333333</v>
      </c>
    </row>
    <row r="158" spans="1:11" ht="14.25" customHeight="1" x14ac:dyDescent="0.3">
      <c r="A158" s="6">
        <v>45488</v>
      </c>
      <c r="B158" s="7" t="s">
        <v>13</v>
      </c>
      <c r="C158" s="8">
        <v>224</v>
      </c>
      <c r="D158" s="8">
        <v>64</v>
      </c>
      <c r="E158" s="8">
        <v>156683</v>
      </c>
      <c r="F158" s="7">
        <v>4.5599999999999996</v>
      </c>
      <c r="G158" s="22">
        <v>28474</v>
      </c>
      <c r="H158" s="20">
        <f t="shared" si="16"/>
        <v>7144.7447999999995</v>
      </c>
      <c r="I158" s="10">
        <f t="shared" si="17"/>
        <v>160</v>
      </c>
      <c r="J158" t="str">
        <f t="shared" si="18"/>
        <v>SummerSplash</v>
      </c>
      <c r="K158" s="20">
        <f t="shared" si="19"/>
        <v>5.7490909090909108</v>
      </c>
    </row>
    <row r="159" spans="1:11" ht="14.25" customHeight="1" x14ac:dyDescent="0.3">
      <c r="A159" s="6">
        <v>45495</v>
      </c>
      <c r="B159" s="7" t="s">
        <v>13</v>
      </c>
      <c r="C159" s="8">
        <v>804</v>
      </c>
      <c r="D159" s="8">
        <v>487</v>
      </c>
      <c r="E159" s="8">
        <v>306564</v>
      </c>
      <c r="F159" s="7">
        <v>5.52</v>
      </c>
      <c r="G159" s="22">
        <v>26452</v>
      </c>
      <c r="H159" s="20">
        <f t="shared" si="16"/>
        <v>16922.332799999996</v>
      </c>
      <c r="I159" s="11">
        <f t="shared" si="17"/>
        <v>317</v>
      </c>
      <c r="J159" t="str">
        <f t="shared" si="18"/>
        <v/>
      </c>
      <c r="K159" s="20">
        <f t="shared" si="19"/>
        <v>5.7767441860465132</v>
      </c>
    </row>
    <row r="160" spans="1:11" ht="14.25" customHeight="1" x14ac:dyDescent="0.3">
      <c r="A160" s="6">
        <v>45502</v>
      </c>
      <c r="B160" s="7" t="s">
        <v>13</v>
      </c>
      <c r="C160" s="8">
        <v>576</v>
      </c>
      <c r="D160" s="8">
        <v>101</v>
      </c>
      <c r="E160" s="8">
        <v>62499</v>
      </c>
      <c r="F160" s="7">
        <v>3.48</v>
      </c>
      <c r="G160" s="22">
        <v>16804</v>
      </c>
      <c r="H160" s="20">
        <f t="shared" si="16"/>
        <v>2174.9652000000001</v>
      </c>
      <c r="I160" s="10">
        <f t="shared" si="17"/>
        <v>475</v>
      </c>
      <c r="J160" t="str">
        <f t="shared" si="18"/>
        <v/>
      </c>
      <c r="K160" s="20">
        <f t="shared" si="19"/>
        <v>5.7828571428571447</v>
      </c>
    </row>
    <row r="161" spans="1:11" ht="14.25" customHeight="1" x14ac:dyDescent="0.3">
      <c r="A161" s="6">
        <v>45509</v>
      </c>
      <c r="B161" s="7" t="s">
        <v>13</v>
      </c>
      <c r="C161" s="8">
        <v>460</v>
      </c>
      <c r="D161" s="8">
        <v>141</v>
      </c>
      <c r="E161" s="8">
        <v>320650</v>
      </c>
      <c r="F161" s="7">
        <v>4.04</v>
      </c>
      <c r="G161" s="22">
        <v>49372</v>
      </c>
      <c r="H161" s="20">
        <f t="shared" si="16"/>
        <v>12954.26</v>
      </c>
      <c r="I161" s="11">
        <f t="shared" si="17"/>
        <v>319</v>
      </c>
      <c r="J161" t="str">
        <f t="shared" si="18"/>
        <v/>
      </c>
      <c r="K161" s="20">
        <f t="shared" si="19"/>
        <v>5.8390243902439041</v>
      </c>
    </row>
    <row r="162" spans="1:11" ht="14.25" customHeight="1" x14ac:dyDescent="0.3">
      <c r="A162" s="6">
        <v>45516</v>
      </c>
      <c r="B162" s="7" t="s">
        <v>13</v>
      </c>
      <c r="C162" s="8">
        <v>1210</v>
      </c>
      <c r="D162" s="8">
        <v>178</v>
      </c>
      <c r="E162" s="8">
        <v>102042</v>
      </c>
      <c r="F162" s="7">
        <v>5.42</v>
      </c>
      <c r="G162" s="22">
        <v>6915</v>
      </c>
      <c r="H162" s="20">
        <f t="shared" ref="H162:H193" si="20">E162 * F162 / 100</f>
        <v>5530.6764000000003</v>
      </c>
      <c r="I162" s="10">
        <f t="shared" ref="I162:I193" si="21" xml:space="preserve"> C162 - D162</f>
        <v>1032</v>
      </c>
      <c r="J162" t="str">
        <f t="shared" ref="J162:J193" si="22">IF(AND(A162&gt;=DATE(2024,6,15), A162&lt;=DATE(2024,7,15)), "SummerSplash",
 IF(AND(A162&gt;=DATE(2024,10,1), A162&lt;=DATE(2024,10,31)), "FestiveRadiance",
 IF(AND(A162&gt;=DATE(2024,12,25), A162&lt;=DATE(2025,1,10)), "NewYearRefresh",
 IF(AND(A162&gt;=DATE(2025,3,1), A162&lt;=DATE(2025,3,31)), "DailyWellness", ""))))</f>
        <v/>
      </c>
      <c r="K162" s="20">
        <f t="shared" ref="K162:K193" si="23">AVERAGE(F162:F361)</f>
        <v>5.8840000000000012</v>
      </c>
    </row>
    <row r="163" spans="1:11" ht="14.25" customHeight="1" x14ac:dyDescent="0.3">
      <c r="A163" s="6">
        <v>45523</v>
      </c>
      <c r="B163" s="7" t="s">
        <v>13</v>
      </c>
      <c r="C163" s="8">
        <v>221</v>
      </c>
      <c r="D163" s="8">
        <v>31</v>
      </c>
      <c r="E163" s="8">
        <v>87443</v>
      </c>
      <c r="F163" s="7">
        <v>6.19</v>
      </c>
      <c r="G163" s="22">
        <v>10283</v>
      </c>
      <c r="H163" s="20">
        <f t="shared" si="20"/>
        <v>5412.7217000000001</v>
      </c>
      <c r="I163" s="11">
        <f t="shared" si="21"/>
        <v>190</v>
      </c>
      <c r="J163" t="str">
        <f t="shared" si="22"/>
        <v/>
      </c>
      <c r="K163" s="20">
        <f t="shared" si="23"/>
        <v>5.8958974358974379</v>
      </c>
    </row>
    <row r="164" spans="1:11" ht="14.25" customHeight="1" x14ac:dyDescent="0.3">
      <c r="A164" s="6">
        <v>45530</v>
      </c>
      <c r="B164" s="7" t="s">
        <v>13</v>
      </c>
      <c r="C164" s="8">
        <v>422</v>
      </c>
      <c r="D164" s="8">
        <v>394</v>
      </c>
      <c r="E164" s="8">
        <v>239044</v>
      </c>
      <c r="F164" s="7">
        <v>7.83</v>
      </c>
      <c r="G164" s="22">
        <v>32929</v>
      </c>
      <c r="H164" s="20">
        <f t="shared" si="20"/>
        <v>18717.145199999999</v>
      </c>
      <c r="I164" s="10">
        <f t="shared" si="21"/>
        <v>28</v>
      </c>
      <c r="J164" t="str">
        <f t="shared" si="22"/>
        <v/>
      </c>
      <c r="K164" s="20">
        <f t="shared" si="23"/>
        <v>5.8881578947368443</v>
      </c>
    </row>
    <row r="165" spans="1:11" ht="14.25" customHeight="1" x14ac:dyDescent="0.3">
      <c r="A165" s="6">
        <v>45537</v>
      </c>
      <c r="B165" s="7" t="s">
        <v>13</v>
      </c>
      <c r="C165" s="8">
        <v>728</v>
      </c>
      <c r="D165" s="8">
        <v>395</v>
      </c>
      <c r="E165" s="8">
        <v>370971</v>
      </c>
      <c r="F165" s="7">
        <v>3.86</v>
      </c>
      <c r="G165" s="22">
        <v>12646</v>
      </c>
      <c r="H165" s="20">
        <f t="shared" si="20"/>
        <v>14319.480600000001</v>
      </c>
      <c r="I165" s="11">
        <f t="shared" si="21"/>
        <v>333</v>
      </c>
      <c r="J165" t="str">
        <f t="shared" si="22"/>
        <v/>
      </c>
      <c r="K165" s="20">
        <f t="shared" si="23"/>
        <v>5.8356756756756782</v>
      </c>
    </row>
    <row r="166" spans="1:11" ht="14.25" customHeight="1" x14ac:dyDescent="0.3">
      <c r="A166" s="6">
        <v>45544</v>
      </c>
      <c r="B166" s="7" t="s">
        <v>13</v>
      </c>
      <c r="C166" s="8">
        <v>1409</v>
      </c>
      <c r="D166" s="8">
        <v>309</v>
      </c>
      <c r="E166" s="8">
        <v>64583</v>
      </c>
      <c r="F166" s="7">
        <v>8.99</v>
      </c>
      <c r="G166" s="22">
        <v>10217</v>
      </c>
      <c r="H166" s="20">
        <f t="shared" si="20"/>
        <v>5806.0117</v>
      </c>
      <c r="I166" s="10">
        <f t="shared" si="21"/>
        <v>1100</v>
      </c>
      <c r="J166" t="str">
        <f t="shared" si="22"/>
        <v/>
      </c>
      <c r="K166" s="20">
        <f t="shared" si="23"/>
        <v>5.890555555555558</v>
      </c>
    </row>
    <row r="167" spans="1:11" ht="14.25" customHeight="1" x14ac:dyDescent="0.3">
      <c r="A167" s="6">
        <v>45551</v>
      </c>
      <c r="B167" s="7" t="s">
        <v>13</v>
      </c>
      <c r="C167" s="8">
        <v>123</v>
      </c>
      <c r="D167" s="8">
        <v>155</v>
      </c>
      <c r="E167" s="8">
        <v>119934</v>
      </c>
      <c r="F167" s="7">
        <v>3.5</v>
      </c>
      <c r="G167" s="22">
        <v>5442</v>
      </c>
      <c r="H167" s="20">
        <f t="shared" si="20"/>
        <v>4197.6899999999996</v>
      </c>
      <c r="I167" s="11">
        <f t="shared" si="21"/>
        <v>-32</v>
      </c>
      <c r="J167" t="str">
        <f t="shared" si="22"/>
        <v/>
      </c>
      <c r="K167" s="20">
        <f t="shared" si="23"/>
        <v>5.8020000000000023</v>
      </c>
    </row>
    <row r="168" spans="1:11" ht="14.25" customHeight="1" x14ac:dyDescent="0.3">
      <c r="A168" s="6">
        <v>45558</v>
      </c>
      <c r="B168" s="7" t="s">
        <v>13</v>
      </c>
      <c r="C168" s="8">
        <v>1218</v>
      </c>
      <c r="D168" s="8">
        <v>212</v>
      </c>
      <c r="E168" s="8">
        <v>63177</v>
      </c>
      <c r="F168" s="7">
        <v>8.1300000000000008</v>
      </c>
      <c r="G168" s="22">
        <v>38883</v>
      </c>
      <c r="H168" s="20">
        <f t="shared" si="20"/>
        <v>5136.2901000000011</v>
      </c>
      <c r="I168" s="10">
        <f t="shared" si="21"/>
        <v>1006</v>
      </c>
      <c r="J168" t="str">
        <f t="shared" si="22"/>
        <v/>
      </c>
      <c r="K168" s="20">
        <f t="shared" si="23"/>
        <v>5.8697058823529433</v>
      </c>
    </row>
    <row r="169" spans="1:11" ht="14.25" customHeight="1" x14ac:dyDescent="0.3">
      <c r="A169" s="6">
        <v>45565</v>
      </c>
      <c r="B169" s="7" t="s">
        <v>13</v>
      </c>
      <c r="C169" s="8">
        <v>1918</v>
      </c>
      <c r="D169" s="8">
        <v>212</v>
      </c>
      <c r="E169" s="8">
        <v>94360</v>
      </c>
      <c r="F169" s="7">
        <v>7.36</v>
      </c>
      <c r="G169" s="22">
        <v>36851</v>
      </c>
      <c r="H169" s="20">
        <f t="shared" si="20"/>
        <v>6944.8959999999997</v>
      </c>
      <c r="I169" s="11">
        <f t="shared" si="21"/>
        <v>1706</v>
      </c>
      <c r="J169" t="str">
        <f t="shared" si="22"/>
        <v/>
      </c>
      <c r="K169" s="20">
        <f t="shared" si="23"/>
        <v>5.8012121212121217</v>
      </c>
    </row>
    <row r="170" spans="1:11" ht="14.25" customHeight="1" x14ac:dyDescent="0.3">
      <c r="A170" s="6">
        <v>45572</v>
      </c>
      <c r="B170" s="7" t="s">
        <v>13</v>
      </c>
      <c r="C170" s="8">
        <v>307</v>
      </c>
      <c r="D170" s="8">
        <v>189</v>
      </c>
      <c r="E170" s="8">
        <v>117767</v>
      </c>
      <c r="F170" s="7">
        <v>9.3000000000000007</v>
      </c>
      <c r="G170" s="22">
        <v>27822</v>
      </c>
      <c r="H170" s="20">
        <f t="shared" si="20"/>
        <v>10952.331</v>
      </c>
      <c r="I170" s="10">
        <f t="shared" si="21"/>
        <v>118</v>
      </c>
      <c r="J170" t="str">
        <f t="shared" si="22"/>
        <v>FestiveRadiance</v>
      </c>
      <c r="K170" s="20">
        <f t="shared" si="23"/>
        <v>5.7525000000000004</v>
      </c>
    </row>
    <row r="171" spans="1:11" ht="14.25" customHeight="1" x14ac:dyDescent="0.3">
      <c r="A171" s="6">
        <v>45579</v>
      </c>
      <c r="B171" s="7" t="s">
        <v>13</v>
      </c>
      <c r="C171" s="8">
        <v>414</v>
      </c>
      <c r="D171" s="8">
        <v>47</v>
      </c>
      <c r="E171" s="8">
        <v>199178</v>
      </c>
      <c r="F171" s="7">
        <v>1.53</v>
      </c>
      <c r="G171" s="22">
        <v>6742</v>
      </c>
      <c r="H171" s="20">
        <f t="shared" si="20"/>
        <v>3047.4234000000001</v>
      </c>
      <c r="I171" s="11">
        <f t="shared" si="21"/>
        <v>367</v>
      </c>
      <c r="J171" t="str">
        <f t="shared" si="22"/>
        <v>FestiveRadiance</v>
      </c>
      <c r="K171" s="20">
        <f t="shared" si="23"/>
        <v>5.6380645161290319</v>
      </c>
    </row>
    <row r="172" spans="1:11" ht="14.25" customHeight="1" x14ac:dyDescent="0.3">
      <c r="A172" s="6">
        <v>45586</v>
      </c>
      <c r="B172" s="7" t="s">
        <v>13</v>
      </c>
      <c r="C172" s="8">
        <v>1707</v>
      </c>
      <c r="D172" s="8">
        <v>223</v>
      </c>
      <c r="E172" s="8">
        <v>256910</v>
      </c>
      <c r="F172" s="7">
        <v>5.41</v>
      </c>
      <c r="G172" s="22">
        <v>44321</v>
      </c>
      <c r="H172" s="20">
        <f t="shared" si="20"/>
        <v>13898.831</v>
      </c>
      <c r="I172" s="10">
        <f t="shared" si="21"/>
        <v>1484</v>
      </c>
      <c r="J172" t="str">
        <f t="shared" si="22"/>
        <v>FestiveRadiance</v>
      </c>
      <c r="K172" s="20">
        <f t="shared" si="23"/>
        <v>5.7750000000000012</v>
      </c>
    </row>
    <row r="173" spans="1:11" ht="14.25" customHeight="1" x14ac:dyDescent="0.3">
      <c r="A173" s="6">
        <v>45593</v>
      </c>
      <c r="B173" s="7" t="s">
        <v>13</v>
      </c>
      <c r="C173" s="8">
        <v>1814</v>
      </c>
      <c r="D173" s="8">
        <v>157</v>
      </c>
      <c r="E173" s="8">
        <v>305827</v>
      </c>
      <c r="F173" s="7">
        <v>1.99</v>
      </c>
      <c r="G173" s="22">
        <v>46643</v>
      </c>
      <c r="H173" s="20">
        <f t="shared" si="20"/>
        <v>6085.9573</v>
      </c>
      <c r="I173" s="11">
        <f t="shared" si="21"/>
        <v>1657</v>
      </c>
      <c r="J173" t="str">
        <f t="shared" si="22"/>
        <v>FestiveRadiance</v>
      </c>
      <c r="K173" s="20">
        <f t="shared" si="23"/>
        <v>5.7875862068965516</v>
      </c>
    </row>
    <row r="174" spans="1:11" ht="14.25" customHeight="1" x14ac:dyDescent="0.3">
      <c r="A174" s="6">
        <v>45600</v>
      </c>
      <c r="B174" s="7" t="s">
        <v>13</v>
      </c>
      <c r="C174" s="8">
        <v>1507</v>
      </c>
      <c r="D174" s="8">
        <v>463</v>
      </c>
      <c r="E174" s="8">
        <v>258944</v>
      </c>
      <c r="F174" s="7">
        <v>6.08</v>
      </c>
      <c r="G174" s="22">
        <v>16443</v>
      </c>
      <c r="H174" s="20">
        <f t="shared" si="20"/>
        <v>15743.7952</v>
      </c>
      <c r="I174" s="10">
        <f t="shared" si="21"/>
        <v>1044</v>
      </c>
      <c r="J174" t="str">
        <f t="shared" si="22"/>
        <v/>
      </c>
      <c r="K174" s="20">
        <f t="shared" si="23"/>
        <v>5.9232142857142858</v>
      </c>
    </row>
    <row r="175" spans="1:11" ht="14.25" customHeight="1" x14ac:dyDescent="0.3">
      <c r="A175" s="6">
        <v>45607</v>
      </c>
      <c r="B175" s="7" t="s">
        <v>13</v>
      </c>
      <c r="C175" s="8">
        <v>454</v>
      </c>
      <c r="D175" s="8">
        <v>105</v>
      </c>
      <c r="E175" s="8">
        <v>121091</v>
      </c>
      <c r="F175" s="7">
        <v>7.97</v>
      </c>
      <c r="G175" s="22">
        <v>9269</v>
      </c>
      <c r="H175" s="20">
        <f t="shared" si="20"/>
        <v>9650.9526999999998</v>
      </c>
      <c r="I175" s="11">
        <f t="shared" si="21"/>
        <v>349</v>
      </c>
      <c r="J175" t="str">
        <f t="shared" si="22"/>
        <v/>
      </c>
      <c r="K175" s="20">
        <f t="shared" si="23"/>
        <v>5.9174074074074081</v>
      </c>
    </row>
    <row r="176" spans="1:11" ht="14.25" customHeight="1" x14ac:dyDescent="0.3">
      <c r="A176" s="6">
        <v>45614</v>
      </c>
      <c r="B176" s="7" t="s">
        <v>13</v>
      </c>
      <c r="C176" s="8">
        <v>278</v>
      </c>
      <c r="D176" s="8">
        <v>218</v>
      </c>
      <c r="E176" s="8">
        <v>301695</v>
      </c>
      <c r="F176" s="7">
        <v>4.68</v>
      </c>
      <c r="G176" s="22">
        <v>22373</v>
      </c>
      <c r="H176" s="20">
        <f t="shared" si="20"/>
        <v>14119.325999999999</v>
      </c>
      <c r="I176" s="10">
        <f t="shared" si="21"/>
        <v>60</v>
      </c>
      <c r="J176" t="str">
        <f t="shared" si="22"/>
        <v/>
      </c>
      <c r="K176" s="20">
        <f t="shared" si="23"/>
        <v>5.838461538461539</v>
      </c>
    </row>
    <row r="177" spans="1:11" ht="14.25" customHeight="1" x14ac:dyDescent="0.3">
      <c r="A177" s="6">
        <v>45621</v>
      </c>
      <c r="B177" s="7" t="s">
        <v>13</v>
      </c>
      <c r="C177" s="8">
        <v>1293</v>
      </c>
      <c r="D177" s="8">
        <v>408</v>
      </c>
      <c r="E177" s="8">
        <v>62535</v>
      </c>
      <c r="F177" s="7">
        <v>8.9</v>
      </c>
      <c r="G177" s="22">
        <v>37876</v>
      </c>
      <c r="H177" s="20">
        <f t="shared" si="20"/>
        <v>5565.6149999999998</v>
      </c>
      <c r="I177" s="11">
        <f t="shared" si="21"/>
        <v>885</v>
      </c>
      <c r="J177" t="str">
        <f t="shared" si="22"/>
        <v/>
      </c>
      <c r="K177" s="20">
        <f t="shared" si="23"/>
        <v>5.8848000000000003</v>
      </c>
    </row>
    <row r="178" spans="1:11" ht="14.25" customHeight="1" x14ac:dyDescent="0.3">
      <c r="A178" s="6">
        <v>45628</v>
      </c>
      <c r="B178" s="7" t="s">
        <v>13</v>
      </c>
      <c r="C178" s="8">
        <v>452</v>
      </c>
      <c r="D178" s="8">
        <v>161</v>
      </c>
      <c r="E178" s="8">
        <v>221274</v>
      </c>
      <c r="F178" s="7">
        <v>2.65</v>
      </c>
      <c r="G178" s="22">
        <v>40888</v>
      </c>
      <c r="H178" s="20">
        <f t="shared" si="20"/>
        <v>5863.7609999999995</v>
      </c>
      <c r="I178" s="10">
        <f t="shared" si="21"/>
        <v>291</v>
      </c>
      <c r="J178" t="str">
        <f t="shared" si="22"/>
        <v/>
      </c>
      <c r="K178" s="20">
        <f t="shared" si="23"/>
        <v>5.7591666666666681</v>
      </c>
    </row>
    <row r="179" spans="1:11" ht="14.25" customHeight="1" x14ac:dyDescent="0.3">
      <c r="A179" s="6">
        <v>45635</v>
      </c>
      <c r="B179" s="7" t="s">
        <v>13</v>
      </c>
      <c r="C179" s="8">
        <v>736</v>
      </c>
      <c r="D179" s="8">
        <v>163</v>
      </c>
      <c r="E179" s="8">
        <v>451894</v>
      </c>
      <c r="F179" s="7">
        <v>5.43</v>
      </c>
      <c r="G179" s="22">
        <v>46625</v>
      </c>
      <c r="H179" s="20">
        <f t="shared" si="20"/>
        <v>24537.8442</v>
      </c>
      <c r="I179" s="11">
        <f t="shared" si="21"/>
        <v>573</v>
      </c>
      <c r="J179" t="str">
        <f t="shared" si="22"/>
        <v/>
      </c>
      <c r="K179" s="20">
        <f t="shared" si="23"/>
        <v>5.8943478260869577</v>
      </c>
    </row>
    <row r="180" spans="1:11" ht="14.25" customHeight="1" x14ac:dyDescent="0.3">
      <c r="A180" s="6">
        <v>45642</v>
      </c>
      <c r="B180" s="7" t="s">
        <v>13</v>
      </c>
      <c r="C180" s="8">
        <v>1004</v>
      </c>
      <c r="D180" s="8">
        <v>128</v>
      </c>
      <c r="E180" s="8">
        <v>488901</v>
      </c>
      <c r="F180" s="7">
        <v>8.09</v>
      </c>
      <c r="G180" s="22">
        <v>49558</v>
      </c>
      <c r="H180" s="20">
        <f t="shared" si="20"/>
        <v>39552.090899999996</v>
      </c>
      <c r="I180" s="10">
        <f t="shared" si="21"/>
        <v>876</v>
      </c>
      <c r="J180" t="str">
        <f t="shared" si="22"/>
        <v/>
      </c>
      <c r="K180" s="20">
        <f t="shared" si="23"/>
        <v>5.9154545454545451</v>
      </c>
    </row>
    <row r="181" spans="1:11" ht="14.25" customHeight="1" x14ac:dyDescent="0.3">
      <c r="A181" s="6">
        <v>45649</v>
      </c>
      <c r="B181" s="7" t="s">
        <v>13</v>
      </c>
      <c r="C181" s="8">
        <v>1900</v>
      </c>
      <c r="D181" s="8">
        <v>311</v>
      </c>
      <c r="E181" s="8">
        <v>25177</v>
      </c>
      <c r="F181" s="7">
        <v>2.89</v>
      </c>
      <c r="G181" s="22">
        <v>14154</v>
      </c>
      <c r="H181" s="20">
        <f t="shared" si="20"/>
        <v>727.61529999999993</v>
      </c>
      <c r="I181" s="11">
        <f t="shared" si="21"/>
        <v>1589</v>
      </c>
      <c r="J181" t="str">
        <f t="shared" si="22"/>
        <v/>
      </c>
      <c r="K181" s="20">
        <f t="shared" si="23"/>
        <v>5.8119047619047626</v>
      </c>
    </row>
    <row r="182" spans="1:11" ht="14.25" customHeight="1" x14ac:dyDescent="0.3">
      <c r="A182" s="6">
        <v>45656</v>
      </c>
      <c r="B182" s="7" t="s">
        <v>13</v>
      </c>
      <c r="C182" s="8">
        <v>1495</v>
      </c>
      <c r="D182" s="8">
        <v>35</v>
      </c>
      <c r="E182" s="8">
        <v>136845</v>
      </c>
      <c r="F182" s="7">
        <v>4.4800000000000004</v>
      </c>
      <c r="G182" s="22">
        <v>39931</v>
      </c>
      <c r="H182" s="20">
        <f t="shared" si="20"/>
        <v>6130.6560000000009</v>
      </c>
      <c r="I182" s="10">
        <f t="shared" si="21"/>
        <v>1460</v>
      </c>
      <c r="J182" t="str">
        <f t="shared" si="22"/>
        <v>NewYearRefresh</v>
      </c>
      <c r="K182" s="20">
        <f t="shared" si="23"/>
        <v>5.9580000000000002</v>
      </c>
    </row>
    <row r="183" spans="1:11" ht="14.25" customHeight="1" x14ac:dyDescent="0.3">
      <c r="A183" s="6">
        <v>45663</v>
      </c>
      <c r="B183" s="7" t="s">
        <v>13</v>
      </c>
      <c r="C183" s="8">
        <v>891</v>
      </c>
      <c r="D183" s="8">
        <v>45</v>
      </c>
      <c r="E183" s="8">
        <v>95410</v>
      </c>
      <c r="F183" s="7">
        <v>8.33</v>
      </c>
      <c r="G183" s="22">
        <v>15045</v>
      </c>
      <c r="H183" s="20">
        <f t="shared" si="20"/>
        <v>7947.6530000000002</v>
      </c>
      <c r="I183" s="11">
        <f t="shared" si="21"/>
        <v>846</v>
      </c>
      <c r="J183" t="str">
        <f t="shared" si="22"/>
        <v>NewYearRefresh</v>
      </c>
      <c r="K183" s="20">
        <f t="shared" si="23"/>
        <v>6.0357894736842113</v>
      </c>
    </row>
    <row r="184" spans="1:11" ht="14.25" customHeight="1" x14ac:dyDescent="0.3">
      <c r="A184" s="6">
        <v>45670</v>
      </c>
      <c r="B184" s="7" t="s">
        <v>13</v>
      </c>
      <c r="C184" s="8">
        <v>1331</v>
      </c>
      <c r="D184" s="8">
        <v>430</v>
      </c>
      <c r="E184" s="8">
        <v>14437</v>
      </c>
      <c r="F184" s="7">
        <v>3.29</v>
      </c>
      <c r="G184" s="22">
        <v>40868</v>
      </c>
      <c r="H184" s="20">
        <f t="shared" si="20"/>
        <v>474.97730000000001</v>
      </c>
      <c r="I184" s="10">
        <f t="shared" si="21"/>
        <v>901</v>
      </c>
      <c r="J184" t="str">
        <f t="shared" si="22"/>
        <v/>
      </c>
      <c r="K184" s="20">
        <f t="shared" si="23"/>
        <v>5.9083333333333332</v>
      </c>
    </row>
    <row r="185" spans="1:11" ht="14.25" customHeight="1" x14ac:dyDescent="0.3">
      <c r="A185" s="6">
        <v>45677</v>
      </c>
      <c r="B185" s="7" t="s">
        <v>13</v>
      </c>
      <c r="C185" s="8">
        <v>1166</v>
      </c>
      <c r="D185" s="8">
        <v>442</v>
      </c>
      <c r="E185" s="8">
        <v>336949</v>
      </c>
      <c r="F185" s="7">
        <v>4.68</v>
      </c>
      <c r="G185" s="22">
        <v>7705</v>
      </c>
      <c r="H185" s="20">
        <f t="shared" si="20"/>
        <v>15769.213199999998</v>
      </c>
      <c r="I185" s="11">
        <f t="shared" si="21"/>
        <v>724</v>
      </c>
      <c r="J185" t="str">
        <f t="shared" si="22"/>
        <v/>
      </c>
      <c r="K185" s="20">
        <f t="shared" si="23"/>
        <v>6.0623529411764707</v>
      </c>
    </row>
    <row r="186" spans="1:11" ht="14.25" customHeight="1" x14ac:dyDescent="0.3">
      <c r="A186" s="6">
        <v>45684</v>
      </c>
      <c r="B186" s="7" t="s">
        <v>13</v>
      </c>
      <c r="C186" s="8">
        <v>1411</v>
      </c>
      <c r="D186" s="8">
        <v>186</v>
      </c>
      <c r="E186" s="8">
        <v>461669</v>
      </c>
      <c r="F186" s="7">
        <v>3.72</v>
      </c>
      <c r="G186" s="22">
        <v>43999</v>
      </c>
      <c r="H186" s="20">
        <f t="shared" si="20"/>
        <v>17174.086800000001</v>
      </c>
      <c r="I186" s="10">
        <f t="shared" si="21"/>
        <v>1225</v>
      </c>
      <c r="J186" t="str">
        <f t="shared" si="22"/>
        <v/>
      </c>
      <c r="K186" s="20">
        <f t="shared" si="23"/>
        <v>6.1487499999999997</v>
      </c>
    </row>
    <row r="187" spans="1:11" ht="14.25" customHeight="1" x14ac:dyDescent="0.3">
      <c r="A187" s="6">
        <v>45691</v>
      </c>
      <c r="B187" s="7" t="s">
        <v>13</v>
      </c>
      <c r="C187" s="8">
        <v>152</v>
      </c>
      <c r="D187" s="8">
        <v>355</v>
      </c>
      <c r="E187" s="8">
        <v>270766</v>
      </c>
      <c r="F187" s="7">
        <v>9.48</v>
      </c>
      <c r="G187" s="22">
        <v>18001</v>
      </c>
      <c r="H187" s="20">
        <f t="shared" si="20"/>
        <v>25668.616800000003</v>
      </c>
      <c r="I187" s="11">
        <f t="shared" si="21"/>
        <v>-203</v>
      </c>
      <c r="J187" t="str">
        <f t="shared" si="22"/>
        <v/>
      </c>
      <c r="K187" s="20">
        <f t="shared" si="23"/>
        <v>6.3106666666666653</v>
      </c>
    </row>
    <row r="188" spans="1:11" ht="14.25" customHeight="1" x14ac:dyDescent="0.3">
      <c r="A188" s="6">
        <v>45698</v>
      </c>
      <c r="B188" s="7" t="s">
        <v>13</v>
      </c>
      <c r="C188" s="8">
        <v>1707</v>
      </c>
      <c r="D188" s="8">
        <v>263</v>
      </c>
      <c r="E188" s="8">
        <v>485280</v>
      </c>
      <c r="F188" s="7">
        <v>9.0299999999999994</v>
      </c>
      <c r="G188" s="22">
        <v>24494</v>
      </c>
      <c r="H188" s="20">
        <f t="shared" si="20"/>
        <v>43820.783999999992</v>
      </c>
      <c r="I188" s="10">
        <f t="shared" si="21"/>
        <v>1444</v>
      </c>
      <c r="J188" t="str">
        <f t="shared" si="22"/>
        <v/>
      </c>
      <c r="K188" s="20">
        <f t="shared" si="23"/>
        <v>6.0842857142857136</v>
      </c>
    </row>
    <row r="189" spans="1:11" ht="14.25" customHeight="1" x14ac:dyDescent="0.3">
      <c r="A189" s="6">
        <v>45705</v>
      </c>
      <c r="B189" s="7" t="s">
        <v>13</v>
      </c>
      <c r="C189" s="8">
        <v>1662</v>
      </c>
      <c r="D189" s="8">
        <v>487</v>
      </c>
      <c r="E189" s="8">
        <v>105980</v>
      </c>
      <c r="F189" s="7">
        <v>9.08</v>
      </c>
      <c r="G189" s="22">
        <v>22996</v>
      </c>
      <c r="H189" s="20">
        <f t="shared" si="20"/>
        <v>9622.9840000000004</v>
      </c>
      <c r="I189" s="11">
        <f t="shared" si="21"/>
        <v>1175</v>
      </c>
      <c r="J189" t="str">
        <f t="shared" si="22"/>
        <v/>
      </c>
      <c r="K189" s="20">
        <f t="shared" si="23"/>
        <v>5.8576923076923073</v>
      </c>
    </row>
    <row r="190" spans="1:11" ht="14.25" customHeight="1" x14ac:dyDescent="0.3">
      <c r="A190" s="6">
        <v>45712</v>
      </c>
      <c r="B190" s="7" t="s">
        <v>13</v>
      </c>
      <c r="C190" s="8">
        <v>1063</v>
      </c>
      <c r="D190" s="8">
        <v>47</v>
      </c>
      <c r="E190" s="8">
        <v>464239</v>
      </c>
      <c r="F190" s="7">
        <v>6.58</v>
      </c>
      <c r="G190" s="22">
        <v>39031</v>
      </c>
      <c r="H190" s="20">
        <f t="shared" si="20"/>
        <v>30546.926200000002</v>
      </c>
      <c r="I190" s="10">
        <f t="shared" si="21"/>
        <v>1016</v>
      </c>
      <c r="J190" t="str">
        <f t="shared" si="22"/>
        <v/>
      </c>
      <c r="K190" s="20">
        <f t="shared" si="23"/>
        <v>5.5891666666666673</v>
      </c>
    </row>
    <row r="191" spans="1:11" ht="14.25" customHeight="1" x14ac:dyDescent="0.3">
      <c r="A191" s="6">
        <v>45719</v>
      </c>
      <c r="B191" s="7" t="s">
        <v>13</v>
      </c>
      <c r="C191" s="8">
        <v>510</v>
      </c>
      <c r="D191" s="8">
        <v>195</v>
      </c>
      <c r="E191" s="8">
        <v>224534</v>
      </c>
      <c r="F191" s="7">
        <v>9.4</v>
      </c>
      <c r="G191" s="22">
        <v>30987</v>
      </c>
      <c r="H191" s="20">
        <f t="shared" si="20"/>
        <v>21106.196</v>
      </c>
      <c r="I191" s="11">
        <f t="shared" si="21"/>
        <v>315</v>
      </c>
      <c r="J191" t="str">
        <f t="shared" si="22"/>
        <v>DailyWellness</v>
      </c>
      <c r="K191" s="20">
        <f t="shared" si="23"/>
        <v>5.4990909090909099</v>
      </c>
    </row>
    <row r="192" spans="1:11" ht="14.25" customHeight="1" x14ac:dyDescent="0.3">
      <c r="A192" s="6">
        <v>45726</v>
      </c>
      <c r="B192" s="7" t="s">
        <v>13</v>
      </c>
      <c r="C192" s="8">
        <v>1658</v>
      </c>
      <c r="D192" s="8">
        <v>416</v>
      </c>
      <c r="E192" s="8">
        <v>98397</v>
      </c>
      <c r="F192" s="7">
        <v>6.11</v>
      </c>
      <c r="G192" s="22">
        <v>11383</v>
      </c>
      <c r="H192" s="20">
        <f t="shared" si="20"/>
        <v>6012.0567000000001</v>
      </c>
      <c r="I192" s="10">
        <f t="shared" si="21"/>
        <v>1242</v>
      </c>
      <c r="J192" t="str">
        <f t="shared" si="22"/>
        <v>DailyWellness</v>
      </c>
      <c r="K192" s="20">
        <f t="shared" si="23"/>
        <v>5.109</v>
      </c>
    </row>
    <row r="193" spans="1:11" ht="14.25" customHeight="1" x14ac:dyDescent="0.3">
      <c r="A193" s="6">
        <v>45733</v>
      </c>
      <c r="B193" s="7" t="s">
        <v>13</v>
      </c>
      <c r="C193" s="8">
        <v>1596</v>
      </c>
      <c r="D193" s="8">
        <v>211</v>
      </c>
      <c r="E193" s="8">
        <v>17380</v>
      </c>
      <c r="F193" s="7">
        <v>8.64</v>
      </c>
      <c r="G193" s="22">
        <v>35801</v>
      </c>
      <c r="H193" s="20">
        <f t="shared" si="20"/>
        <v>1501.6320000000001</v>
      </c>
      <c r="I193" s="11">
        <f t="shared" si="21"/>
        <v>1385</v>
      </c>
      <c r="J193" t="str">
        <f t="shared" si="22"/>
        <v>DailyWellness</v>
      </c>
      <c r="K193" s="20">
        <f t="shared" si="23"/>
        <v>4.9977777777777783</v>
      </c>
    </row>
    <row r="194" spans="1:11" ht="14.25" customHeight="1" x14ac:dyDescent="0.3">
      <c r="A194" s="6">
        <v>45740</v>
      </c>
      <c r="B194" s="7" t="s">
        <v>13</v>
      </c>
      <c r="C194" s="8">
        <v>442</v>
      </c>
      <c r="D194" s="8">
        <v>53</v>
      </c>
      <c r="E194" s="8">
        <v>441931</v>
      </c>
      <c r="F194" s="7">
        <v>1.87</v>
      </c>
      <c r="G194" s="22">
        <v>20059</v>
      </c>
      <c r="H194" s="20">
        <f t="shared" ref="H194:H201" si="24">E194 * F194 / 100</f>
        <v>8264.1097000000009</v>
      </c>
      <c r="I194" s="10">
        <f t="shared" ref="I194:I201" si="25" xml:space="preserve"> C194 - D194</f>
        <v>389</v>
      </c>
      <c r="J194" t="str">
        <f t="shared" ref="J194:J201" si="26">IF(AND(A194&gt;=DATE(2024,6,15), A194&lt;=DATE(2024,7,15)), "SummerSplash",
 IF(AND(A194&gt;=DATE(2024,10,1), A194&lt;=DATE(2024,10,31)), "FestiveRadiance",
 IF(AND(A194&gt;=DATE(2024,12,25), A194&lt;=DATE(2025,1,10)), "NewYearRefresh",
 IF(AND(A194&gt;=DATE(2025,3,1), A194&lt;=DATE(2025,3,31)), "DailyWellness", ""))))</f>
        <v>DailyWellness</v>
      </c>
      <c r="K194" s="20">
        <f t="shared" ref="K194:K201" si="27">AVERAGE(F194:F393)</f>
        <v>4.5425000000000004</v>
      </c>
    </row>
    <row r="195" spans="1:11" ht="14.25" customHeight="1" x14ac:dyDescent="0.3">
      <c r="A195" s="6">
        <v>45747</v>
      </c>
      <c r="B195" s="7" t="s">
        <v>13</v>
      </c>
      <c r="C195" s="8">
        <v>1957</v>
      </c>
      <c r="D195" s="8">
        <v>490</v>
      </c>
      <c r="E195" s="8">
        <v>435726</v>
      </c>
      <c r="F195" s="7">
        <v>4.7300000000000004</v>
      </c>
      <c r="G195" s="22">
        <v>15969</v>
      </c>
      <c r="H195" s="20">
        <f t="shared" si="24"/>
        <v>20609.839800000002</v>
      </c>
      <c r="I195" s="11">
        <f t="shared" si="25"/>
        <v>1467</v>
      </c>
      <c r="J195" t="str">
        <f t="shared" si="26"/>
        <v>DailyWellness</v>
      </c>
      <c r="K195" s="20">
        <f t="shared" si="27"/>
        <v>4.9242857142857153</v>
      </c>
    </row>
    <row r="196" spans="1:11" ht="14.25" customHeight="1" x14ac:dyDescent="0.3">
      <c r="A196" s="6">
        <v>45754</v>
      </c>
      <c r="B196" s="7" t="s">
        <v>13</v>
      </c>
      <c r="C196" s="8">
        <v>623</v>
      </c>
      <c r="D196" s="8">
        <v>414</v>
      </c>
      <c r="E196" s="8">
        <v>290354</v>
      </c>
      <c r="F196" s="7">
        <v>6.49</v>
      </c>
      <c r="G196" s="22">
        <v>39923</v>
      </c>
      <c r="H196" s="20">
        <f t="shared" si="24"/>
        <v>18843.974600000001</v>
      </c>
      <c r="I196" s="10">
        <f t="shared" si="25"/>
        <v>209</v>
      </c>
      <c r="J196" t="str">
        <f t="shared" si="26"/>
        <v/>
      </c>
      <c r="K196" s="20">
        <f t="shared" si="27"/>
        <v>4.956666666666667</v>
      </c>
    </row>
    <row r="197" spans="1:11" ht="14.25" customHeight="1" x14ac:dyDescent="0.3">
      <c r="A197" s="6">
        <v>45761</v>
      </c>
      <c r="B197" s="7" t="s">
        <v>13</v>
      </c>
      <c r="C197" s="8">
        <v>520</v>
      </c>
      <c r="D197" s="8">
        <v>375</v>
      </c>
      <c r="E197" s="8">
        <v>369525</v>
      </c>
      <c r="F197" s="7">
        <v>6.54</v>
      </c>
      <c r="G197" s="22">
        <v>20733</v>
      </c>
      <c r="H197" s="20">
        <f t="shared" si="24"/>
        <v>24166.935000000001</v>
      </c>
      <c r="I197" s="11">
        <f t="shared" si="25"/>
        <v>145</v>
      </c>
      <c r="J197" t="str">
        <f t="shared" si="26"/>
        <v/>
      </c>
      <c r="K197" s="20">
        <f t="shared" si="27"/>
        <v>4.6499999999999995</v>
      </c>
    </row>
    <row r="198" spans="1:11" ht="14.25" customHeight="1" x14ac:dyDescent="0.3">
      <c r="A198" s="6">
        <v>45768</v>
      </c>
      <c r="B198" s="7" t="s">
        <v>13</v>
      </c>
      <c r="C198" s="8">
        <v>1707</v>
      </c>
      <c r="D198" s="8">
        <v>74</v>
      </c>
      <c r="E198" s="8">
        <v>270958</v>
      </c>
      <c r="F198" s="7">
        <v>3.09</v>
      </c>
      <c r="G198" s="22">
        <v>14090</v>
      </c>
      <c r="H198" s="20">
        <f t="shared" si="24"/>
        <v>8372.6021999999994</v>
      </c>
      <c r="I198" s="10">
        <f t="shared" si="25"/>
        <v>1633</v>
      </c>
      <c r="J198" t="str">
        <f t="shared" si="26"/>
        <v/>
      </c>
      <c r="K198" s="20">
        <f t="shared" si="27"/>
        <v>4.1774999999999993</v>
      </c>
    </row>
    <row r="199" spans="1:11" ht="14.25" customHeight="1" x14ac:dyDescent="0.3">
      <c r="A199" s="6">
        <v>45775</v>
      </c>
      <c r="B199" s="7" t="s">
        <v>13</v>
      </c>
      <c r="C199" s="8">
        <v>777</v>
      </c>
      <c r="D199" s="8">
        <v>140</v>
      </c>
      <c r="E199" s="8">
        <v>11435</v>
      </c>
      <c r="F199" s="7">
        <v>1.6</v>
      </c>
      <c r="G199" s="22">
        <v>6832</v>
      </c>
      <c r="H199" s="20">
        <f t="shared" si="24"/>
        <v>182.96</v>
      </c>
      <c r="I199" s="11">
        <f t="shared" si="25"/>
        <v>637</v>
      </c>
      <c r="J199" t="str">
        <f t="shared" si="26"/>
        <v/>
      </c>
      <c r="K199" s="20">
        <f t="shared" si="27"/>
        <v>4.54</v>
      </c>
    </row>
    <row r="200" spans="1:11" ht="14.25" customHeight="1" x14ac:dyDescent="0.3">
      <c r="A200" s="6">
        <v>45782</v>
      </c>
      <c r="B200" s="7" t="s">
        <v>13</v>
      </c>
      <c r="C200" s="8">
        <v>1035</v>
      </c>
      <c r="D200" s="8">
        <v>171</v>
      </c>
      <c r="E200" s="8">
        <v>148477</v>
      </c>
      <c r="F200" s="7">
        <v>5.21</v>
      </c>
      <c r="G200" s="22">
        <v>7541</v>
      </c>
      <c r="H200" s="20">
        <f t="shared" si="24"/>
        <v>7735.6517000000003</v>
      </c>
      <c r="I200" s="10">
        <f t="shared" si="25"/>
        <v>864</v>
      </c>
      <c r="J200" t="str">
        <f t="shared" si="26"/>
        <v/>
      </c>
      <c r="K200" s="20">
        <f t="shared" si="27"/>
        <v>6.01</v>
      </c>
    </row>
    <row r="201" spans="1:11" ht="14.25" customHeight="1" x14ac:dyDescent="0.3">
      <c r="A201" s="6">
        <v>45789</v>
      </c>
      <c r="B201" s="7" t="s">
        <v>13</v>
      </c>
      <c r="C201" s="8">
        <v>119</v>
      </c>
      <c r="D201" s="8">
        <v>456</v>
      </c>
      <c r="E201" s="8">
        <v>82558</v>
      </c>
      <c r="F201" s="7">
        <v>6.81</v>
      </c>
      <c r="G201" s="22">
        <v>12174</v>
      </c>
      <c r="H201" s="20">
        <f t="shared" si="24"/>
        <v>5622.1997999999994</v>
      </c>
      <c r="I201" s="12">
        <f t="shared" si="25"/>
        <v>-337</v>
      </c>
      <c r="J201" t="str">
        <f t="shared" si="26"/>
        <v/>
      </c>
      <c r="K201" s="20">
        <f t="shared" si="27"/>
        <v>6.81</v>
      </c>
    </row>
    <row r="202" spans="1:11" ht="14.25" customHeight="1" x14ac:dyDescent="0.3"/>
    <row r="203" spans="1:11" ht="14.25" customHeight="1" x14ac:dyDescent="0.3"/>
    <row r="204" spans="1:11" ht="14.25" customHeight="1" x14ac:dyDescent="0.3"/>
    <row r="205" spans="1:11" ht="14.25" customHeight="1" x14ac:dyDescent="0.3"/>
    <row r="206" spans="1:11" ht="14.25" customHeight="1" x14ac:dyDescent="0.3"/>
    <row r="207" spans="1:11" ht="14.25" customHeight="1" x14ac:dyDescent="0.3"/>
    <row r="208" spans="1:11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43B47-03EE-4049-B6C2-5C0E4D478C48}">
  <dimension ref="A1:O11"/>
  <sheetViews>
    <sheetView workbookViewId="0">
      <selection activeCell="N2" sqref="N2"/>
    </sheetView>
  </sheetViews>
  <sheetFormatPr defaultRowHeight="14.4" x14ac:dyDescent="0.3"/>
  <cols>
    <col min="2" max="2" width="10.21875" customWidth="1"/>
    <col min="3" max="3" width="11" customWidth="1"/>
    <col min="4" max="4" width="14.21875" customWidth="1"/>
    <col min="5" max="5" width="10.5546875" customWidth="1"/>
    <col min="8" max="8" width="12" customWidth="1"/>
    <col min="9" max="9" width="12.88671875" customWidth="1"/>
    <col min="12" max="12" width="16.109375" customWidth="1"/>
    <col min="13" max="13" width="17.33203125" customWidth="1"/>
    <col min="14" max="14" width="17.6640625" customWidth="1"/>
    <col min="15" max="15" width="11.21875" customWidth="1"/>
  </cols>
  <sheetData>
    <row r="1" spans="1:15" x14ac:dyDescent="0.3">
      <c r="A1" t="s">
        <v>14</v>
      </c>
      <c r="B1" t="s">
        <v>1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9</v>
      </c>
      <c r="N1" s="14" t="s">
        <v>25</v>
      </c>
      <c r="O1" s="15" t="s">
        <v>26</v>
      </c>
    </row>
    <row r="2" spans="1:15" x14ac:dyDescent="0.3">
      <c r="A2" t="s">
        <v>27</v>
      </c>
      <c r="B2" t="s">
        <v>11</v>
      </c>
      <c r="C2" s="13">
        <v>45445</v>
      </c>
      <c r="D2" t="s">
        <v>28</v>
      </c>
      <c r="E2" t="s">
        <v>29</v>
      </c>
      <c r="F2">
        <v>84</v>
      </c>
      <c r="G2">
        <v>897</v>
      </c>
      <c r="H2">
        <v>85</v>
      </c>
      <c r="I2">
        <v>588</v>
      </c>
      <c r="J2">
        <v>8</v>
      </c>
      <c r="K2">
        <v>12</v>
      </c>
      <c r="L2" t="s">
        <v>30</v>
      </c>
      <c r="N2" s="16">
        <v>1.8129251700680271</v>
      </c>
      <c r="O2">
        <v>1</v>
      </c>
    </row>
    <row r="3" spans="1:15" x14ac:dyDescent="0.3">
      <c r="A3" t="s">
        <v>31</v>
      </c>
      <c r="B3" t="s">
        <v>11</v>
      </c>
      <c r="C3" s="13">
        <v>45762</v>
      </c>
      <c r="D3" t="s">
        <v>32</v>
      </c>
      <c r="E3" t="s">
        <v>33</v>
      </c>
      <c r="F3">
        <v>103</v>
      </c>
      <c r="G3">
        <v>770</v>
      </c>
      <c r="H3">
        <v>19</v>
      </c>
      <c r="I3">
        <v>1030</v>
      </c>
      <c r="J3">
        <v>410</v>
      </c>
      <c r="K3">
        <v>262</v>
      </c>
      <c r="L3" t="s">
        <v>34</v>
      </c>
      <c r="M3" t="s">
        <v>35</v>
      </c>
      <c r="N3" s="16">
        <v>0.86601941747572819</v>
      </c>
      <c r="O3">
        <v>2</v>
      </c>
    </row>
    <row r="4" spans="1:15" x14ac:dyDescent="0.3">
      <c r="A4" t="s">
        <v>36</v>
      </c>
      <c r="B4" t="s">
        <v>12</v>
      </c>
      <c r="C4" s="13">
        <v>45776</v>
      </c>
      <c r="D4" t="s">
        <v>28</v>
      </c>
      <c r="E4" t="s">
        <v>37</v>
      </c>
      <c r="F4">
        <v>249</v>
      </c>
      <c r="G4">
        <v>592</v>
      </c>
      <c r="H4">
        <v>230</v>
      </c>
      <c r="I4">
        <v>1494</v>
      </c>
      <c r="J4">
        <v>1044</v>
      </c>
      <c r="K4">
        <v>201</v>
      </c>
      <c r="L4" t="s">
        <v>30</v>
      </c>
      <c r="M4" t="s">
        <v>35</v>
      </c>
      <c r="N4" s="16">
        <v>0.7168674698795181</v>
      </c>
      <c r="O4">
        <v>3</v>
      </c>
    </row>
    <row r="5" spans="1:15" x14ac:dyDescent="0.3">
      <c r="A5" t="s">
        <v>38</v>
      </c>
      <c r="B5" t="s">
        <v>11</v>
      </c>
      <c r="C5" s="13">
        <v>45603</v>
      </c>
      <c r="D5" t="s">
        <v>39</v>
      </c>
      <c r="E5" t="s">
        <v>40</v>
      </c>
      <c r="F5">
        <v>129</v>
      </c>
      <c r="G5">
        <v>643</v>
      </c>
      <c r="H5">
        <v>136</v>
      </c>
      <c r="I5">
        <v>1290</v>
      </c>
      <c r="J5">
        <v>839</v>
      </c>
      <c r="K5">
        <v>238</v>
      </c>
      <c r="L5" t="s">
        <v>34</v>
      </c>
      <c r="M5" t="s">
        <v>35</v>
      </c>
      <c r="N5" s="16">
        <v>0.70387596899224802</v>
      </c>
      <c r="O5">
        <v>4</v>
      </c>
    </row>
    <row r="6" spans="1:15" x14ac:dyDescent="0.3">
      <c r="A6" t="s">
        <v>41</v>
      </c>
      <c r="B6" t="s">
        <v>11</v>
      </c>
      <c r="C6" s="13">
        <v>45674</v>
      </c>
      <c r="D6" t="s">
        <v>32</v>
      </c>
      <c r="E6" t="s">
        <v>33</v>
      </c>
      <c r="F6">
        <v>142</v>
      </c>
      <c r="G6">
        <v>784</v>
      </c>
      <c r="H6">
        <v>183</v>
      </c>
      <c r="I6">
        <v>1704</v>
      </c>
      <c r="J6">
        <v>995</v>
      </c>
      <c r="K6">
        <v>154</v>
      </c>
      <c r="L6" t="s">
        <v>42</v>
      </c>
      <c r="M6" t="s">
        <v>35</v>
      </c>
      <c r="N6" s="16">
        <v>0.6508215962441315</v>
      </c>
      <c r="O6">
        <v>5</v>
      </c>
    </row>
    <row r="7" spans="1:15" x14ac:dyDescent="0.3">
      <c r="A7" t="s">
        <v>43</v>
      </c>
      <c r="B7" t="s">
        <v>12</v>
      </c>
      <c r="C7" s="13">
        <v>45618</v>
      </c>
      <c r="D7" t="s">
        <v>44</v>
      </c>
      <c r="E7" t="s">
        <v>45</v>
      </c>
      <c r="F7">
        <v>53</v>
      </c>
      <c r="G7">
        <v>81</v>
      </c>
      <c r="H7">
        <v>379</v>
      </c>
      <c r="I7">
        <v>954</v>
      </c>
      <c r="J7">
        <v>7</v>
      </c>
      <c r="K7">
        <v>148</v>
      </c>
      <c r="L7" t="s">
        <v>34</v>
      </c>
      <c r="M7" t="s">
        <v>46</v>
      </c>
      <c r="N7" s="16">
        <v>0.53773584905660377</v>
      </c>
      <c r="O7">
        <v>6</v>
      </c>
    </row>
    <row r="8" spans="1:15" x14ac:dyDescent="0.3">
      <c r="A8" t="s">
        <v>47</v>
      </c>
      <c r="B8" t="s">
        <v>12</v>
      </c>
      <c r="C8" s="13">
        <v>45687</v>
      </c>
      <c r="D8" t="s">
        <v>48</v>
      </c>
      <c r="E8" t="s">
        <v>49</v>
      </c>
      <c r="F8">
        <v>59</v>
      </c>
      <c r="G8">
        <v>163</v>
      </c>
      <c r="H8">
        <v>93</v>
      </c>
      <c r="I8">
        <v>590</v>
      </c>
      <c r="J8">
        <v>475</v>
      </c>
      <c r="K8">
        <v>293</v>
      </c>
      <c r="L8" t="s">
        <v>34</v>
      </c>
      <c r="M8" t="s">
        <v>50</v>
      </c>
      <c r="N8" s="16">
        <v>0.53389830508474578</v>
      </c>
      <c r="O8">
        <v>7</v>
      </c>
    </row>
    <row r="9" spans="1:15" ht="13.8" customHeight="1" x14ac:dyDescent="0.3">
      <c r="A9" t="s">
        <v>51</v>
      </c>
      <c r="B9" t="s">
        <v>13</v>
      </c>
      <c r="C9" s="13">
        <v>45567</v>
      </c>
      <c r="D9" t="s">
        <v>44</v>
      </c>
      <c r="E9" t="s">
        <v>52</v>
      </c>
      <c r="F9">
        <v>80</v>
      </c>
      <c r="G9">
        <v>362</v>
      </c>
      <c r="H9">
        <v>80</v>
      </c>
      <c r="I9">
        <v>1040</v>
      </c>
      <c r="J9">
        <v>349</v>
      </c>
      <c r="K9">
        <v>117</v>
      </c>
      <c r="L9" t="s">
        <v>34</v>
      </c>
      <c r="M9" t="s">
        <v>46</v>
      </c>
      <c r="N9" s="16">
        <v>0.50192307692307692</v>
      </c>
      <c r="O9">
        <v>8</v>
      </c>
    </row>
    <row r="10" spans="1:15" x14ac:dyDescent="0.3">
      <c r="A10" t="s">
        <v>53</v>
      </c>
      <c r="B10" t="s">
        <v>13</v>
      </c>
      <c r="C10" s="13">
        <v>45707</v>
      </c>
      <c r="D10" t="s">
        <v>48</v>
      </c>
      <c r="E10" t="s">
        <v>54</v>
      </c>
      <c r="F10">
        <v>257</v>
      </c>
      <c r="G10">
        <v>966</v>
      </c>
      <c r="H10">
        <v>398</v>
      </c>
      <c r="I10">
        <v>3341</v>
      </c>
      <c r="J10">
        <v>2753</v>
      </c>
      <c r="K10">
        <v>287</v>
      </c>
      <c r="L10" t="s">
        <v>42</v>
      </c>
      <c r="M10" t="s">
        <v>55</v>
      </c>
      <c r="N10" s="16">
        <v>0.48518407662376534</v>
      </c>
      <c r="O10">
        <v>9</v>
      </c>
    </row>
    <row r="11" spans="1:15" x14ac:dyDescent="0.3">
      <c r="A11" t="s">
        <v>56</v>
      </c>
      <c r="B11" t="s">
        <v>10</v>
      </c>
      <c r="C11" s="13">
        <v>45749</v>
      </c>
      <c r="D11" t="s">
        <v>39</v>
      </c>
      <c r="E11" t="s">
        <v>57</v>
      </c>
      <c r="F11">
        <v>199</v>
      </c>
      <c r="G11">
        <v>772</v>
      </c>
      <c r="H11">
        <v>400</v>
      </c>
      <c r="I11">
        <v>3582</v>
      </c>
      <c r="J11">
        <v>2988</v>
      </c>
      <c r="K11">
        <v>43</v>
      </c>
      <c r="L11" t="s">
        <v>34</v>
      </c>
      <c r="N11" s="16">
        <v>0.38274706867671693</v>
      </c>
      <c r="O11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C73D-203A-4CCD-B675-AB1F93071933}">
  <dimension ref="A3:F32"/>
  <sheetViews>
    <sheetView workbookViewId="0">
      <selection activeCell="D16" sqref="D16"/>
    </sheetView>
  </sheetViews>
  <sheetFormatPr defaultRowHeight="14.4" x14ac:dyDescent="0.3"/>
  <cols>
    <col min="1" max="1" width="12.44140625" bestFit="1" customWidth="1"/>
    <col min="2" max="2" width="11.33203125" bestFit="1" customWidth="1"/>
    <col min="3" max="3" width="12.6640625" style="9" bestFit="1" customWidth="1"/>
    <col min="4" max="4" width="16.21875" style="9" bestFit="1" customWidth="1"/>
    <col min="5" max="5" width="17.44140625" bestFit="1" customWidth="1"/>
    <col min="6" max="6" width="12.109375" bestFit="1" customWidth="1"/>
  </cols>
  <sheetData>
    <row r="3" spans="1:6" x14ac:dyDescent="0.3">
      <c r="A3" s="19" t="s">
        <v>58</v>
      </c>
      <c r="B3" t="s">
        <v>59</v>
      </c>
      <c r="C3" s="9" t="s">
        <v>60</v>
      </c>
      <c r="D3" s="9" t="s">
        <v>61</v>
      </c>
      <c r="E3" t="s">
        <v>62</v>
      </c>
      <c r="F3" t="s">
        <v>63</v>
      </c>
    </row>
    <row r="4" spans="1:6" x14ac:dyDescent="0.3">
      <c r="A4" s="17" t="s">
        <v>10</v>
      </c>
      <c r="B4" s="9">
        <v>265966</v>
      </c>
      <c r="C4" s="9">
        <v>42720</v>
      </c>
      <c r="D4" s="9">
        <v>25855</v>
      </c>
      <c r="E4" s="9">
        <v>3522618</v>
      </c>
      <c r="F4" s="9">
        <v>3468448</v>
      </c>
    </row>
    <row r="5" spans="1:6" x14ac:dyDescent="0.3">
      <c r="A5" s="18" t="s">
        <v>44</v>
      </c>
      <c r="B5" s="9">
        <v>44476</v>
      </c>
      <c r="C5" s="9">
        <v>7400</v>
      </c>
      <c r="D5" s="9">
        <v>4589</v>
      </c>
      <c r="E5" s="9">
        <v>565471</v>
      </c>
      <c r="F5" s="9">
        <v>558118</v>
      </c>
    </row>
    <row r="6" spans="1:6" x14ac:dyDescent="0.3">
      <c r="A6" s="18" t="s">
        <v>48</v>
      </c>
      <c r="B6" s="9">
        <v>80073</v>
      </c>
      <c r="C6" s="9">
        <v>14376</v>
      </c>
      <c r="D6" s="9">
        <v>7308</v>
      </c>
      <c r="E6" s="9">
        <v>1108857</v>
      </c>
      <c r="F6" s="9">
        <v>1090216</v>
      </c>
    </row>
    <row r="7" spans="1:6" x14ac:dyDescent="0.3">
      <c r="A7" s="18" t="s">
        <v>32</v>
      </c>
      <c r="B7" s="9">
        <v>46102</v>
      </c>
      <c r="C7" s="9">
        <v>7149</v>
      </c>
      <c r="D7" s="9">
        <v>3732</v>
      </c>
      <c r="E7" s="9">
        <v>585042</v>
      </c>
      <c r="F7" s="9">
        <v>577505</v>
      </c>
    </row>
    <row r="8" spans="1:6" x14ac:dyDescent="0.3">
      <c r="A8" s="18" t="s">
        <v>28</v>
      </c>
      <c r="B8" s="9">
        <v>29405</v>
      </c>
      <c r="C8" s="9">
        <v>4950</v>
      </c>
      <c r="D8" s="9">
        <v>3223</v>
      </c>
      <c r="E8" s="9">
        <v>318662</v>
      </c>
      <c r="F8" s="9">
        <v>311948</v>
      </c>
    </row>
    <row r="9" spans="1:6" x14ac:dyDescent="0.3">
      <c r="A9" s="18" t="s">
        <v>64</v>
      </c>
      <c r="B9" s="9">
        <v>35357</v>
      </c>
      <c r="C9" s="9">
        <v>5127</v>
      </c>
      <c r="D9" s="9">
        <v>4424</v>
      </c>
      <c r="E9" s="9">
        <v>488986</v>
      </c>
      <c r="F9" s="9">
        <v>479990</v>
      </c>
    </row>
    <row r="10" spans="1:6" x14ac:dyDescent="0.3">
      <c r="A10" s="18" t="s">
        <v>39</v>
      </c>
      <c r="B10" s="9">
        <v>30553</v>
      </c>
      <c r="C10" s="9">
        <v>3718</v>
      </c>
      <c r="D10" s="9">
        <v>2579</v>
      </c>
      <c r="E10" s="9">
        <v>455600</v>
      </c>
      <c r="F10" s="9">
        <v>450671</v>
      </c>
    </row>
    <row r="11" spans="1:6" x14ac:dyDescent="0.3">
      <c r="A11" s="17" t="s">
        <v>11</v>
      </c>
      <c r="B11" s="9">
        <v>222773</v>
      </c>
      <c r="C11" s="9">
        <v>46563</v>
      </c>
      <c r="D11" s="9">
        <v>19898</v>
      </c>
      <c r="E11" s="9">
        <v>2584927</v>
      </c>
      <c r="F11" s="9">
        <v>2540040</v>
      </c>
    </row>
    <row r="12" spans="1:6" x14ac:dyDescent="0.3">
      <c r="A12" s="18" t="s">
        <v>44</v>
      </c>
      <c r="B12" s="9">
        <v>45776</v>
      </c>
      <c r="C12" s="9">
        <v>7903</v>
      </c>
      <c r="D12" s="9">
        <v>4382</v>
      </c>
      <c r="E12" s="9">
        <v>558848</v>
      </c>
      <c r="F12" s="9">
        <v>549691</v>
      </c>
    </row>
    <row r="13" spans="1:6" x14ac:dyDescent="0.3">
      <c r="A13" s="18" t="s">
        <v>48</v>
      </c>
      <c r="B13" s="9">
        <v>40391</v>
      </c>
      <c r="C13" s="9">
        <v>5989</v>
      </c>
      <c r="D13" s="9">
        <v>3646</v>
      </c>
      <c r="E13" s="9">
        <v>484146</v>
      </c>
      <c r="F13" s="9">
        <v>476800</v>
      </c>
    </row>
    <row r="14" spans="1:6" x14ac:dyDescent="0.3">
      <c r="A14" s="18" t="s">
        <v>32</v>
      </c>
      <c r="B14" s="9">
        <v>32148</v>
      </c>
      <c r="C14" s="9">
        <v>8110</v>
      </c>
      <c r="D14" s="9">
        <v>3386</v>
      </c>
      <c r="E14" s="9">
        <v>339011</v>
      </c>
      <c r="F14" s="9">
        <v>332418</v>
      </c>
    </row>
    <row r="15" spans="1:6" x14ac:dyDescent="0.3">
      <c r="A15" s="18" t="s">
        <v>28</v>
      </c>
      <c r="B15" s="9">
        <v>51313</v>
      </c>
      <c r="C15" s="9">
        <v>11591</v>
      </c>
      <c r="D15" s="9">
        <v>4284</v>
      </c>
      <c r="E15" s="9">
        <v>632060</v>
      </c>
      <c r="F15" s="9">
        <v>623343</v>
      </c>
    </row>
    <row r="16" spans="1:6" x14ac:dyDescent="0.3">
      <c r="A16" s="18" t="s">
        <v>64</v>
      </c>
      <c r="B16" s="9">
        <v>25567</v>
      </c>
      <c r="C16" s="9">
        <v>5112</v>
      </c>
      <c r="D16" s="9">
        <v>1946</v>
      </c>
      <c r="E16" s="9">
        <v>310559</v>
      </c>
      <c r="F16" s="9">
        <v>304293</v>
      </c>
    </row>
    <row r="17" spans="1:6" x14ac:dyDescent="0.3">
      <c r="A17" s="18" t="s">
        <v>39</v>
      </c>
      <c r="B17" s="9">
        <v>27578</v>
      </c>
      <c r="C17" s="9">
        <v>7858</v>
      </c>
      <c r="D17" s="9">
        <v>2254</v>
      </c>
      <c r="E17" s="9">
        <v>260303</v>
      </c>
      <c r="F17" s="9">
        <v>253495</v>
      </c>
    </row>
    <row r="18" spans="1:6" x14ac:dyDescent="0.3">
      <c r="A18" s="17" t="s">
        <v>12</v>
      </c>
      <c r="B18" s="9">
        <v>238849</v>
      </c>
      <c r="C18" s="9">
        <v>38158</v>
      </c>
      <c r="D18" s="9">
        <v>23935</v>
      </c>
      <c r="E18" s="9">
        <v>3063256</v>
      </c>
      <c r="F18" s="9">
        <v>3015919</v>
      </c>
    </row>
    <row r="19" spans="1:6" x14ac:dyDescent="0.3">
      <c r="A19" s="18" t="s">
        <v>44</v>
      </c>
      <c r="B19" s="9">
        <v>63769</v>
      </c>
      <c r="C19" s="9">
        <v>7949</v>
      </c>
      <c r="D19" s="9">
        <v>4622</v>
      </c>
      <c r="E19" s="9">
        <v>811508</v>
      </c>
      <c r="F19" s="9">
        <v>799837</v>
      </c>
    </row>
    <row r="20" spans="1:6" x14ac:dyDescent="0.3">
      <c r="A20" s="18" t="s">
        <v>48</v>
      </c>
      <c r="B20" s="9">
        <v>50158</v>
      </c>
      <c r="C20" s="9">
        <v>7895</v>
      </c>
      <c r="D20" s="9">
        <v>5743</v>
      </c>
      <c r="E20" s="9">
        <v>574071</v>
      </c>
      <c r="F20" s="9">
        <v>563150</v>
      </c>
    </row>
    <row r="21" spans="1:6" x14ac:dyDescent="0.3">
      <c r="A21" s="18" t="s">
        <v>32</v>
      </c>
      <c r="B21" s="9">
        <v>28490</v>
      </c>
      <c r="C21" s="9">
        <v>4734</v>
      </c>
      <c r="D21" s="9">
        <v>2257</v>
      </c>
      <c r="E21" s="9">
        <v>437258</v>
      </c>
      <c r="F21" s="9">
        <v>431567</v>
      </c>
    </row>
    <row r="22" spans="1:6" x14ac:dyDescent="0.3">
      <c r="A22" s="18" t="s">
        <v>28</v>
      </c>
      <c r="B22" s="9">
        <v>20466</v>
      </c>
      <c r="C22" s="9">
        <v>5090</v>
      </c>
      <c r="D22" s="9">
        <v>3026</v>
      </c>
      <c r="E22" s="9">
        <v>228736</v>
      </c>
      <c r="F22" s="9">
        <v>223482</v>
      </c>
    </row>
    <row r="23" spans="1:6" x14ac:dyDescent="0.3">
      <c r="A23" s="18" t="s">
        <v>64</v>
      </c>
      <c r="B23" s="9">
        <v>35953</v>
      </c>
      <c r="C23" s="9">
        <v>5250</v>
      </c>
      <c r="D23" s="9">
        <v>4403</v>
      </c>
      <c r="E23" s="9">
        <v>474689</v>
      </c>
      <c r="F23" s="9">
        <v>468425</v>
      </c>
    </row>
    <row r="24" spans="1:6" x14ac:dyDescent="0.3">
      <c r="A24" s="18" t="s">
        <v>39</v>
      </c>
      <c r="B24" s="9">
        <v>40013</v>
      </c>
      <c r="C24" s="9">
        <v>7240</v>
      </c>
      <c r="D24" s="9">
        <v>3884</v>
      </c>
      <c r="E24" s="9">
        <v>536994</v>
      </c>
      <c r="F24" s="9">
        <v>529458</v>
      </c>
    </row>
    <row r="25" spans="1:6" x14ac:dyDescent="0.3">
      <c r="A25" s="17" t="s">
        <v>13</v>
      </c>
      <c r="B25" s="9">
        <v>195887</v>
      </c>
      <c r="C25" s="9">
        <v>33306</v>
      </c>
      <c r="D25" s="9">
        <v>14440</v>
      </c>
      <c r="E25" s="9">
        <v>2587955</v>
      </c>
      <c r="F25" s="9">
        <v>2553155</v>
      </c>
    </row>
    <row r="26" spans="1:6" x14ac:dyDescent="0.3">
      <c r="A26" s="18" t="s">
        <v>44</v>
      </c>
      <c r="B26" s="9">
        <v>25730</v>
      </c>
      <c r="C26" s="9">
        <v>6944</v>
      </c>
      <c r="D26" s="9">
        <v>2465</v>
      </c>
      <c r="E26" s="9">
        <v>400158</v>
      </c>
      <c r="F26" s="9">
        <v>394131</v>
      </c>
    </row>
    <row r="27" spans="1:6" x14ac:dyDescent="0.3">
      <c r="A27" s="18" t="s">
        <v>48</v>
      </c>
      <c r="B27" s="9">
        <v>23903</v>
      </c>
      <c r="C27" s="9">
        <v>4310</v>
      </c>
      <c r="D27" s="9">
        <v>2077</v>
      </c>
      <c r="E27" s="9">
        <v>374597</v>
      </c>
      <c r="F27" s="9">
        <v>370491</v>
      </c>
    </row>
    <row r="28" spans="1:6" x14ac:dyDescent="0.3">
      <c r="A28" s="18" t="s">
        <v>32</v>
      </c>
      <c r="B28" s="9">
        <v>39022</v>
      </c>
      <c r="C28" s="9">
        <v>6036</v>
      </c>
      <c r="D28" s="9">
        <v>3234</v>
      </c>
      <c r="E28" s="9">
        <v>502596</v>
      </c>
      <c r="F28" s="9">
        <v>494341</v>
      </c>
    </row>
    <row r="29" spans="1:6" x14ac:dyDescent="0.3">
      <c r="A29" s="18" t="s">
        <v>28</v>
      </c>
      <c r="B29" s="9">
        <v>31968</v>
      </c>
      <c r="C29" s="9">
        <v>3866</v>
      </c>
      <c r="D29" s="9">
        <v>2012</v>
      </c>
      <c r="E29" s="9">
        <v>422494</v>
      </c>
      <c r="F29" s="9">
        <v>417440</v>
      </c>
    </row>
    <row r="30" spans="1:6" x14ac:dyDescent="0.3">
      <c r="A30" s="18" t="s">
        <v>64</v>
      </c>
      <c r="B30" s="9">
        <v>35429</v>
      </c>
      <c r="C30" s="9">
        <v>5204</v>
      </c>
      <c r="D30" s="9">
        <v>1293</v>
      </c>
      <c r="E30" s="9">
        <v>406296</v>
      </c>
      <c r="F30" s="9">
        <v>400871</v>
      </c>
    </row>
    <row r="31" spans="1:6" x14ac:dyDescent="0.3">
      <c r="A31" s="18" t="s">
        <v>39</v>
      </c>
      <c r="B31" s="9">
        <v>39835</v>
      </c>
      <c r="C31" s="9">
        <v>6946</v>
      </c>
      <c r="D31" s="9">
        <v>3359</v>
      </c>
      <c r="E31" s="9">
        <v>481814</v>
      </c>
      <c r="F31" s="9">
        <v>475881</v>
      </c>
    </row>
    <row r="32" spans="1:6" x14ac:dyDescent="0.3">
      <c r="A32" s="17" t="s">
        <v>65</v>
      </c>
      <c r="B32" s="9">
        <v>923475</v>
      </c>
      <c r="C32" s="9">
        <v>160747</v>
      </c>
      <c r="D32" s="9">
        <v>84128</v>
      </c>
      <c r="E32" s="9">
        <v>11758756</v>
      </c>
      <c r="F32" s="9">
        <v>11577562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00695-8F69-4625-ADDF-1B6ACEA085D8}">
  <dimension ref="A3:B10"/>
  <sheetViews>
    <sheetView workbookViewId="0">
      <selection activeCell="H12" sqref="H12"/>
    </sheetView>
  </sheetViews>
  <sheetFormatPr defaultRowHeight="14.4" x14ac:dyDescent="0.3"/>
  <cols>
    <col min="1" max="1" width="20.21875" bestFit="1" customWidth="1"/>
    <col min="2" max="2" width="15.33203125" bestFit="1" customWidth="1"/>
  </cols>
  <sheetData>
    <row r="3" spans="1:2" x14ac:dyDescent="0.3">
      <c r="A3" s="19" t="s">
        <v>58</v>
      </c>
      <c r="B3" t="s">
        <v>66</v>
      </c>
    </row>
    <row r="4" spans="1:2" x14ac:dyDescent="0.3">
      <c r="A4" s="17" t="s">
        <v>30</v>
      </c>
      <c r="B4" s="20">
        <v>151.52941176470588</v>
      </c>
    </row>
    <row r="5" spans="1:2" x14ac:dyDescent="0.3">
      <c r="A5" s="17" t="s">
        <v>67</v>
      </c>
      <c r="B5" s="20">
        <v>111.8</v>
      </c>
    </row>
    <row r="6" spans="1:2" x14ac:dyDescent="0.3">
      <c r="A6" s="17" t="s">
        <v>34</v>
      </c>
      <c r="B6" s="20">
        <v>158.65420560747663</v>
      </c>
    </row>
    <row r="7" spans="1:2" x14ac:dyDescent="0.3">
      <c r="A7" s="17" t="s">
        <v>42</v>
      </c>
      <c r="B7" s="20">
        <v>144.03883495145632</v>
      </c>
    </row>
    <row r="8" spans="1:2" x14ac:dyDescent="0.3">
      <c r="A8" s="17" t="s">
        <v>68</v>
      </c>
      <c r="B8" s="20">
        <v>114.85714285714286</v>
      </c>
    </row>
    <row r="9" spans="1:2" x14ac:dyDescent="0.3">
      <c r="A9" s="17" t="s">
        <v>69</v>
      </c>
      <c r="B9" s="20">
        <v>161.19999999999999</v>
      </c>
    </row>
    <row r="10" spans="1:2" x14ac:dyDescent="0.3">
      <c r="A10" s="17" t="s">
        <v>65</v>
      </c>
      <c r="B10" s="20">
        <v>150.58702064896755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Engagement Summary</vt:lpstr>
      <vt:lpstr>Top 10 posts</vt:lpstr>
      <vt:lpstr>Engagement by Platform&amp;Content</vt:lpstr>
      <vt:lpstr>Average Clicks per Hashtag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uddin</dc:creator>
  <cp:lastModifiedBy>junaid uddin</cp:lastModifiedBy>
  <dcterms:created xsi:type="dcterms:W3CDTF">2025-09-08T04:58:28Z</dcterms:created>
  <dcterms:modified xsi:type="dcterms:W3CDTF">2025-09-09T13:30:38Z</dcterms:modified>
</cp:coreProperties>
</file>