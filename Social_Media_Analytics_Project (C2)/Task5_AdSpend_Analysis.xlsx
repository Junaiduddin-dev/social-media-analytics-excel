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70aaa4e78a79f/Desktop/Social_Media_Analytics_Project (C2)/"/>
    </mc:Choice>
  </mc:AlternateContent>
  <xr:revisionPtr revIDLastSave="126" documentId="8_{5D8AB974-6BBA-438B-BFAE-EDE8CE3AEB69}" xr6:coauthVersionLast="47" xr6:coauthVersionMax="47" xr10:uidLastSave="{416C9F39-A6DB-48CE-BC15-1A0673EA9668}"/>
  <bookViews>
    <workbookView minimized="1" xWindow="3372" yWindow="3480" windowWidth="17280" windowHeight="8880" firstSheet="1" activeTab="3" xr2:uid="{334F4685-0792-41FF-AAED-DEBF27E8CA70}"/>
  </bookViews>
  <sheets>
    <sheet name="Engagement_vs_AdSpend" sheetId="1" r:id="rId1"/>
    <sheet name="Avg per campaign" sheetId="3" r:id="rId2"/>
    <sheet name="Pivot_Engagement_AdSpend" sheetId="2" r:id="rId3"/>
    <sheet name="Campaign Performance Summary" sheetId="5" r:id="rId4"/>
  </sheets>
  <externalReferences>
    <externalReference r:id="rId5"/>
    <externalReference r:id="rId6"/>
  </externalReferenc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2" i="5"/>
  <c r="H5" i="5"/>
  <c r="I5" i="5" s="1"/>
  <c r="H4" i="5"/>
  <c r="I4" i="5" s="1"/>
  <c r="H3" i="5"/>
  <c r="I3" i="5" s="1"/>
  <c r="H2" i="5"/>
  <c r="I2" i="5" s="1"/>
</calcChain>
</file>

<file path=xl/sharedStrings.xml><?xml version="1.0" encoding="utf-8"?>
<sst xmlns="http://schemas.openxmlformats.org/spreadsheetml/2006/main" count="242" uniqueCount="38">
  <si>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</si>
  <si>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</si>
  <si>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</si>
  <si>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</si>
  <si>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</si>
  <si>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</si>
  <si>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</si>
  <si>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Facebook</t>
  </si>
  <si>
    <t>Instagram</t>
  </si>
  <si>
    <t>Twitter</t>
  </si>
  <si>
    <t>YouTube</t>
  </si>
  <si>
    <t>Details  for Sum of Ad_Spend</t>
  </si>
  <si>
    <t>Row Labels</t>
  </si>
  <si>
    <t>Sum of Ad_Spend</t>
  </si>
  <si>
    <t>Sum of Engagement_Rate</t>
  </si>
  <si>
    <t>Grand Total</t>
  </si>
  <si>
    <t>Campaign</t>
  </si>
  <si>
    <t>Total Impressions</t>
  </si>
  <si>
    <t>Avg Impressions</t>
  </si>
  <si>
    <t>Total Likes</t>
  </si>
  <si>
    <t>Avg Likes</t>
  </si>
  <si>
    <t>Total Clicks</t>
  </si>
  <si>
    <t>Avg Clicks</t>
  </si>
  <si>
    <t>NewYearRefresh</t>
  </si>
  <si>
    <t>FestiveRadiance</t>
  </si>
  <si>
    <t>SummerSplash</t>
  </si>
  <si>
    <t>DailyWellness</t>
  </si>
  <si>
    <t>Campaign_Name</t>
  </si>
  <si>
    <t>Start_Date</t>
  </si>
  <si>
    <t>End_Date</t>
  </si>
  <si>
    <t>Total_Likes</t>
  </si>
  <si>
    <t>Total_Impressions</t>
  </si>
  <si>
    <t>Total_Clicks</t>
  </si>
  <si>
    <t>ROI</t>
  </si>
  <si>
    <t>Engagment Rate</t>
  </si>
  <si>
    <t>Avg Engagment Rate(after)</t>
  </si>
  <si>
    <t>Engagement uplift</t>
  </si>
  <si>
    <t>Avg Engagment Rate(before)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</si>
</sst>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2" borderId="1" xfId="0" applyFont="1" applyFill="1" applyBorder="1" applyAlignment="1">
      <alignment horizontal="center" vertical="top"/>
    </xf>
    <xf numFmtId="1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0" fontId="3" fillId="3" borderId="1" xfId="0" applyFont="1" applyFill="1" applyBorder="1"/>
    <xf numFmtId="164" fontId="0" fillId="0" borderId="0" xfId="0" applyNumberFormat="1"/>
    <xf numFmtId="10" fontId="0" fillId="0" borderId="0" xfId="0" applyNumberFormat="1"/>
    <xf numFmtId="0" fontId="3" fillId="0" borderId="1" xfId="0" applyFont="1" applyBorder="1"/>
  </cellXfs>
  <cellStyles count="1">
    <cellStyle name="Normal" xfId="0" builtinId="0"/>
  </cellStyles>
  <dxfs count="24">
    <dxf>
      <numFmt numFmtId="14" formatCode="0.00%"/>
    </dxf>
    <dxf>
      <numFmt numFmtId="14" formatCode="0.00%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19" formatCode="dd/mm/yyyy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vs Ad Spend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47403480505527E-2"/>
          <c:y val="0.15312203441996461"/>
          <c:w val="0.8877170262958054"/>
          <c:h val="0.76783815093145935"/>
        </c:manualLayout>
      </c:layou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[1]Engagement_vs_AdSpend!$C$4:$C$203</c:f>
              <c:numCache>
                <c:formatCode>General</c:formatCode>
                <c:ptCount val="200"/>
                <c:pt idx="0">
                  <c:v>1312</c:v>
                </c:pt>
                <c:pt idx="1">
                  <c:v>1697</c:v>
                </c:pt>
                <c:pt idx="2">
                  <c:v>1753</c:v>
                </c:pt>
                <c:pt idx="3">
                  <c:v>1779</c:v>
                </c:pt>
                <c:pt idx="4">
                  <c:v>505</c:v>
                </c:pt>
                <c:pt idx="5">
                  <c:v>350</c:v>
                </c:pt>
                <c:pt idx="6">
                  <c:v>170</c:v>
                </c:pt>
                <c:pt idx="7">
                  <c:v>1391</c:v>
                </c:pt>
                <c:pt idx="8">
                  <c:v>160</c:v>
                </c:pt>
                <c:pt idx="9">
                  <c:v>214</c:v>
                </c:pt>
                <c:pt idx="10">
                  <c:v>1534</c:v>
                </c:pt>
                <c:pt idx="11">
                  <c:v>1078</c:v>
                </c:pt>
                <c:pt idx="12">
                  <c:v>248</c:v>
                </c:pt>
                <c:pt idx="13">
                  <c:v>1520</c:v>
                </c:pt>
                <c:pt idx="14">
                  <c:v>1842</c:v>
                </c:pt>
                <c:pt idx="15">
                  <c:v>443</c:v>
                </c:pt>
                <c:pt idx="16">
                  <c:v>198</c:v>
                </c:pt>
                <c:pt idx="17">
                  <c:v>250</c:v>
                </c:pt>
                <c:pt idx="18">
                  <c:v>1929</c:v>
                </c:pt>
                <c:pt idx="19">
                  <c:v>643</c:v>
                </c:pt>
                <c:pt idx="20">
                  <c:v>508</c:v>
                </c:pt>
                <c:pt idx="21">
                  <c:v>859</c:v>
                </c:pt>
                <c:pt idx="22">
                  <c:v>947</c:v>
                </c:pt>
                <c:pt idx="23">
                  <c:v>171</c:v>
                </c:pt>
                <c:pt idx="24">
                  <c:v>513</c:v>
                </c:pt>
                <c:pt idx="25">
                  <c:v>1710</c:v>
                </c:pt>
                <c:pt idx="26">
                  <c:v>1902</c:v>
                </c:pt>
                <c:pt idx="27">
                  <c:v>1514</c:v>
                </c:pt>
                <c:pt idx="28">
                  <c:v>1623</c:v>
                </c:pt>
                <c:pt idx="29">
                  <c:v>1155</c:v>
                </c:pt>
                <c:pt idx="30">
                  <c:v>1980</c:v>
                </c:pt>
                <c:pt idx="31">
                  <c:v>816</c:v>
                </c:pt>
                <c:pt idx="32">
                  <c:v>651</c:v>
                </c:pt>
                <c:pt idx="33">
                  <c:v>663</c:v>
                </c:pt>
                <c:pt idx="34">
                  <c:v>1249</c:v>
                </c:pt>
                <c:pt idx="35">
                  <c:v>1159</c:v>
                </c:pt>
                <c:pt idx="36">
                  <c:v>1294</c:v>
                </c:pt>
                <c:pt idx="37">
                  <c:v>1895</c:v>
                </c:pt>
                <c:pt idx="38">
                  <c:v>1884</c:v>
                </c:pt>
                <c:pt idx="39">
                  <c:v>345</c:v>
                </c:pt>
                <c:pt idx="40">
                  <c:v>1098</c:v>
                </c:pt>
                <c:pt idx="41">
                  <c:v>1358</c:v>
                </c:pt>
                <c:pt idx="42">
                  <c:v>609</c:v>
                </c:pt>
                <c:pt idx="43">
                  <c:v>988</c:v>
                </c:pt>
                <c:pt idx="44">
                  <c:v>1307</c:v>
                </c:pt>
                <c:pt idx="45">
                  <c:v>198</c:v>
                </c:pt>
                <c:pt idx="46">
                  <c:v>1375</c:v>
                </c:pt>
                <c:pt idx="47">
                  <c:v>833</c:v>
                </c:pt>
                <c:pt idx="48">
                  <c:v>405</c:v>
                </c:pt>
                <c:pt idx="49">
                  <c:v>837</c:v>
                </c:pt>
                <c:pt idx="50">
                  <c:v>1135</c:v>
                </c:pt>
                <c:pt idx="51">
                  <c:v>656</c:v>
                </c:pt>
                <c:pt idx="52">
                  <c:v>1048</c:v>
                </c:pt>
                <c:pt idx="53">
                  <c:v>911</c:v>
                </c:pt>
                <c:pt idx="54">
                  <c:v>226</c:v>
                </c:pt>
                <c:pt idx="55">
                  <c:v>1757</c:v>
                </c:pt>
                <c:pt idx="56">
                  <c:v>1960</c:v>
                </c:pt>
                <c:pt idx="57">
                  <c:v>508</c:v>
                </c:pt>
                <c:pt idx="58">
                  <c:v>653</c:v>
                </c:pt>
                <c:pt idx="59">
                  <c:v>645</c:v>
                </c:pt>
                <c:pt idx="60">
                  <c:v>1528</c:v>
                </c:pt>
                <c:pt idx="61">
                  <c:v>215</c:v>
                </c:pt>
                <c:pt idx="62">
                  <c:v>1685</c:v>
                </c:pt>
                <c:pt idx="63">
                  <c:v>1429</c:v>
                </c:pt>
                <c:pt idx="64">
                  <c:v>1592</c:v>
                </c:pt>
                <c:pt idx="65">
                  <c:v>778</c:v>
                </c:pt>
                <c:pt idx="66">
                  <c:v>817</c:v>
                </c:pt>
                <c:pt idx="67">
                  <c:v>1433</c:v>
                </c:pt>
                <c:pt idx="68">
                  <c:v>1939</c:v>
                </c:pt>
                <c:pt idx="69">
                  <c:v>1527</c:v>
                </c:pt>
                <c:pt idx="70">
                  <c:v>703</c:v>
                </c:pt>
                <c:pt idx="71">
                  <c:v>642</c:v>
                </c:pt>
                <c:pt idx="72">
                  <c:v>1466</c:v>
                </c:pt>
                <c:pt idx="73">
                  <c:v>1075</c:v>
                </c:pt>
                <c:pt idx="74">
                  <c:v>187</c:v>
                </c:pt>
                <c:pt idx="75">
                  <c:v>1854</c:v>
                </c:pt>
                <c:pt idx="76">
                  <c:v>1696</c:v>
                </c:pt>
                <c:pt idx="77">
                  <c:v>1494</c:v>
                </c:pt>
                <c:pt idx="78">
                  <c:v>1502</c:v>
                </c:pt>
                <c:pt idx="79">
                  <c:v>1092</c:v>
                </c:pt>
                <c:pt idx="80">
                  <c:v>1814</c:v>
                </c:pt>
                <c:pt idx="81">
                  <c:v>1013</c:v>
                </c:pt>
                <c:pt idx="82">
                  <c:v>1855</c:v>
                </c:pt>
                <c:pt idx="83">
                  <c:v>1748</c:v>
                </c:pt>
                <c:pt idx="84">
                  <c:v>115</c:v>
                </c:pt>
                <c:pt idx="85">
                  <c:v>1556</c:v>
                </c:pt>
                <c:pt idx="86">
                  <c:v>1957</c:v>
                </c:pt>
                <c:pt idx="87">
                  <c:v>1138</c:v>
                </c:pt>
                <c:pt idx="88">
                  <c:v>1440</c:v>
                </c:pt>
                <c:pt idx="89">
                  <c:v>1371</c:v>
                </c:pt>
                <c:pt idx="90">
                  <c:v>393</c:v>
                </c:pt>
                <c:pt idx="91">
                  <c:v>1102</c:v>
                </c:pt>
                <c:pt idx="92">
                  <c:v>490</c:v>
                </c:pt>
                <c:pt idx="93">
                  <c:v>1033</c:v>
                </c:pt>
                <c:pt idx="94">
                  <c:v>559</c:v>
                </c:pt>
                <c:pt idx="95">
                  <c:v>198</c:v>
                </c:pt>
                <c:pt idx="96">
                  <c:v>961</c:v>
                </c:pt>
                <c:pt idx="97">
                  <c:v>1693</c:v>
                </c:pt>
                <c:pt idx="98">
                  <c:v>1957</c:v>
                </c:pt>
                <c:pt idx="99">
                  <c:v>1765</c:v>
                </c:pt>
                <c:pt idx="100">
                  <c:v>584</c:v>
                </c:pt>
                <c:pt idx="101">
                  <c:v>436</c:v>
                </c:pt>
                <c:pt idx="102">
                  <c:v>1335</c:v>
                </c:pt>
                <c:pt idx="103">
                  <c:v>1238</c:v>
                </c:pt>
                <c:pt idx="104">
                  <c:v>1420</c:v>
                </c:pt>
                <c:pt idx="105">
                  <c:v>987</c:v>
                </c:pt>
                <c:pt idx="106">
                  <c:v>704</c:v>
                </c:pt>
                <c:pt idx="107">
                  <c:v>1701</c:v>
                </c:pt>
                <c:pt idx="108">
                  <c:v>1756</c:v>
                </c:pt>
                <c:pt idx="109">
                  <c:v>826</c:v>
                </c:pt>
                <c:pt idx="110">
                  <c:v>485</c:v>
                </c:pt>
                <c:pt idx="111">
                  <c:v>1751</c:v>
                </c:pt>
                <c:pt idx="112">
                  <c:v>1300</c:v>
                </c:pt>
                <c:pt idx="113">
                  <c:v>557</c:v>
                </c:pt>
                <c:pt idx="114">
                  <c:v>751</c:v>
                </c:pt>
                <c:pt idx="115">
                  <c:v>1472</c:v>
                </c:pt>
                <c:pt idx="116">
                  <c:v>1911</c:v>
                </c:pt>
                <c:pt idx="117">
                  <c:v>752</c:v>
                </c:pt>
                <c:pt idx="118">
                  <c:v>437</c:v>
                </c:pt>
                <c:pt idx="119">
                  <c:v>201</c:v>
                </c:pt>
                <c:pt idx="120">
                  <c:v>697</c:v>
                </c:pt>
                <c:pt idx="121">
                  <c:v>191</c:v>
                </c:pt>
                <c:pt idx="122">
                  <c:v>1821</c:v>
                </c:pt>
                <c:pt idx="123">
                  <c:v>1487</c:v>
                </c:pt>
                <c:pt idx="124">
                  <c:v>628</c:v>
                </c:pt>
                <c:pt idx="125">
                  <c:v>330</c:v>
                </c:pt>
                <c:pt idx="126">
                  <c:v>1441</c:v>
                </c:pt>
                <c:pt idx="127">
                  <c:v>1937</c:v>
                </c:pt>
                <c:pt idx="128">
                  <c:v>1592</c:v>
                </c:pt>
                <c:pt idx="129">
                  <c:v>1137</c:v>
                </c:pt>
                <c:pt idx="130">
                  <c:v>1786</c:v>
                </c:pt>
                <c:pt idx="131">
                  <c:v>1633</c:v>
                </c:pt>
                <c:pt idx="132">
                  <c:v>118</c:v>
                </c:pt>
                <c:pt idx="133">
                  <c:v>1040</c:v>
                </c:pt>
                <c:pt idx="134">
                  <c:v>1501</c:v>
                </c:pt>
                <c:pt idx="135">
                  <c:v>927</c:v>
                </c:pt>
                <c:pt idx="136">
                  <c:v>1587</c:v>
                </c:pt>
                <c:pt idx="137">
                  <c:v>362</c:v>
                </c:pt>
                <c:pt idx="138">
                  <c:v>861</c:v>
                </c:pt>
                <c:pt idx="139">
                  <c:v>946</c:v>
                </c:pt>
                <c:pt idx="140">
                  <c:v>1399</c:v>
                </c:pt>
                <c:pt idx="141">
                  <c:v>1077</c:v>
                </c:pt>
                <c:pt idx="142">
                  <c:v>364</c:v>
                </c:pt>
                <c:pt idx="143">
                  <c:v>1946</c:v>
                </c:pt>
                <c:pt idx="144">
                  <c:v>1432</c:v>
                </c:pt>
                <c:pt idx="145">
                  <c:v>353</c:v>
                </c:pt>
                <c:pt idx="146">
                  <c:v>1147</c:v>
                </c:pt>
                <c:pt idx="147">
                  <c:v>1222</c:v>
                </c:pt>
                <c:pt idx="148">
                  <c:v>1581</c:v>
                </c:pt>
                <c:pt idx="149">
                  <c:v>337</c:v>
                </c:pt>
                <c:pt idx="150">
                  <c:v>1535</c:v>
                </c:pt>
                <c:pt idx="151">
                  <c:v>1197</c:v>
                </c:pt>
                <c:pt idx="152">
                  <c:v>403</c:v>
                </c:pt>
                <c:pt idx="153">
                  <c:v>308</c:v>
                </c:pt>
                <c:pt idx="154">
                  <c:v>144</c:v>
                </c:pt>
                <c:pt idx="155">
                  <c:v>883</c:v>
                </c:pt>
                <c:pt idx="156">
                  <c:v>224</c:v>
                </c:pt>
                <c:pt idx="157">
                  <c:v>804</c:v>
                </c:pt>
                <c:pt idx="158">
                  <c:v>576</c:v>
                </c:pt>
                <c:pt idx="159">
                  <c:v>460</c:v>
                </c:pt>
                <c:pt idx="160">
                  <c:v>1210</c:v>
                </c:pt>
                <c:pt idx="161">
                  <c:v>221</c:v>
                </c:pt>
                <c:pt idx="162">
                  <c:v>422</c:v>
                </c:pt>
                <c:pt idx="163">
                  <c:v>728</c:v>
                </c:pt>
                <c:pt idx="164">
                  <c:v>1409</c:v>
                </c:pt>
                <c:pt idx="165">
                  <c:v>123</c:v>
                </c:pt>
                <c:pt idx="166">
                  <c:v>1218</c:v>
                </c:pt>
                <c:pt idx="167">
                  <c:v>1918</c:v>
                </c:pt>
                <c:pt idx="168">
                  <c:v>307</c:v>
                </c:pt>
                <c:pt idx="169">
                  <c:v>414</c:v>
                </c:pt>
                <c:pt idx="170">
                  <c:v>1707</c:v>
                </c:pt>
                <c:pt idx="171">
                  <c:v>1814</c:v>
                </c:pt>
                <c:pt idx="172">
                  <c:v>1507</c:v>
                </c:pt>
                <c:pt idx="173">
                  <c:v>454</c:v>
                </c:pt>
                <c:pt idx="174">
                  <c:v>278</c:v>
                </c:pt>
                <c:pt idx="175">
                  <c:v>1293</c:v>
                </c:pt>
                <c:pt idx="176">
                  <c:v>452</c:v>
                </c:pt>
                <c:pt idx="177">
                  <c:v>736</c:v>
                </c:pt>
                <c:pt idx="178">
                  <c:v>1004</c:v>
                </c:pt>
                <c:pt idx="179">
                  <c:v>1900</c:v>
                </c:pt>
                <c:pt idx="180">
                  <c:v>1495</c:v>
                </c:pt>
                <c:pt idx="181">
                  <c:v>891</c:v>
                </c:pt>
                <c:pt idx="182">
                  <c:v>1331</c:v>
                </c:pt>
                <c:pt idx="183">
                  <c:v>1166</c:v>
                </c:pt>
                <c:pt idx="184">
                  <c:v>1411</c:v>
                </c:pt>
                <c:pt idx="185">
                  <c:v>152</c:v>
                </c:pt>
                <c:pt idx="186">
                  <c:v>1707</c:v>
                </c:pt>
                <c:pt idx="187">
                  <c:v>1662</c:v>
                </c:pt>
                <c:pt idx="188">
                  <c:v>1063</c:v>
                </c:pt>
                <c:pt idx="189">
                  <c:v>510</c:v>
                </c:pt>
                <c:pt idx="190">
                  <c:v>1658</c:v>
                </c:pt>
                <c:pt idx="191">
                  <c:v>1596</c:v>
                </c:pt>
                <c:pt idx="192">
                  <c:v>442</c:v>
                </c:pt>
                <c:pt idx="193">
                  <c:v>1957</c:v>
                </c:pt>
                <c:pt idx="194">
                  <c:v>623</c:v>
                </c:pt>
                <c:pt idx="195">
                  <c:v>520</c:v>
                </c:pt>
                <c:pt idx="196">
                  <c:v>1707</c:v>
                </c:pt>
                <c:pt idx="197">
                  <c:v>777</c:v>
                </c:pt>
                <c:pt idx="198">
                  <c:v>1035</c:v>
                </c:pt>
                <c:pt idx="199">
                  <c:v>119</c:v>
                </c:pt>
              </c:numCache>
            </c:numRef>
          </c:xVal>
          <c:yVal>
            <c:numRef>
              <c:f>[1]Engagement_vs_AdSpend!$F$4:$F$203</c:f>
              <c:numCache>
                <c:formatCode>General</c:formatCode>
                <c:ptCount val="200"/>
                <c:pt idx="0">
                  <c:v>4.9800000000000004</c:v>
                </c:pt>
                <c:pt idx="1">
                  <c:v>2.37</c:v>
                </c:pt>
                <c:pt idx="2">
                  <c:v>8.11</c:v>
                </c:pt>
                <c:pt idx="3">
                  <c:v>9.1199999999999992</c:v>
                </c:pt>
                <c:pt idx="4">
                  <c:v>4.4800000000000004</c:v>
                </c:pt>
                <c:pt idx="5">
                  <c:v>1.91</c:v>
                </c:pt>
                <c:pt idx="6">
                  <c:v>6.44</c:v>
                </c:pt>
                <c:pt idx="7">
                  <c:v>7.86</c:v>
                </c:pt>
                <c:pt idx="8">
                  <c:v>7.73</c:v>
                </c:pt>
                <c:pt idx="9">
                  <c:v>6.11</c:v>
                </c:pt>
                <c:pt idx="10">
                  <c:v>6.01</c:v>
                </c:pt>
                <c:pt idx="11">
                  <c:v>8.84</c:v>
                </c:pt>
                <c:pt idx="12">
                  <c:v>9.0399999999999991</c:v>
                </c:pt>
                <c:pt idx="13">
                  <c:v>6.41</c:v>
                </c:pt>
                <c:pt idx="14">
                  <c:v>1.76</c:v>
                </c:pt>
                <c:pt idx="15">
                  <c:v>9.1999999999999993</c:v>
                </c:pt>
                <c:pt idx="16">
                  <c:v>7.36</c:v>
                </c:pt>
                <c:pt idx="17">
                  <c:v>1.77</c:v>
                </c:pt>
                <c:pt idx="18">
                  <c:v>1.75</c:v>
                </c:pt>
                <c:pt idx="19">
                  <c:v>3.88</c:v>
                </c:pt>
                <c:pt idx="20">
                  <c:v>3.16</c:v>
                </c:pt>
                <c:pt idx="21">
                  <c:v>4.46</c:v>
                </c:pt>
                <c:pt idx="22">
                  <c:v>3.32</c:v>
                </c:pt>
                <c:pt idx="23">
                  <c:v>8.6999999999999993</c:v>
                </c:pt>
                <c:pt idx="24">
                  <c:v>2.68</c:v>
                </c:pt>
                <c:pt idx="25">
                  <c:v>6.2</c:v>
                </c:pt>
                <c:pt idx="26">
                  <c:v>4.79</c:v>
                </c:pt>
                <c:pt idx="27">
                  <c:v>7.47</c:v>
                </c:pt>
                <c:pt idx="28">
                  <c:v>8.11</c:v>
                </c:pt>
                <c:pt idx="29">
                  <c:v>2.02</c:v>
                </c:pt>
                <c:pt idx="30">
                  <c:v>3.09</c:v>
                </c:pt>
                <c:pt idx="31">
                  <c:v>8.1999999999999993</c:v>
                </c:pt>
                <c:pt idx="32">
                  <c:v>5.61</c:v>
                </c:pt>
                <c:pt idx="33">
                  <c:v>4.51</c:v>
                </c:pt>
                <c:pt idx="34">
                  <c:v>6.37</c:v>
                </c:pt>
                <c:pt idx="35">
                  <c:v>8.6999999999999993</c:v>
                </c:pt>
                <c:pt idx="36">
                  <c:v>8.0299999999999994</c:v>
                </c:pt>
                <c:pt idx="37">
                  <c:v>3.85</c:v>
                </c:pt>
                <c:pt idx="38">
                  <c:v>7.8</c:v>
                </c:pt>
                <c:pt idx="39">
                  <c:v>4.55</c:v>
                </c:pt>
                <c:pt idx="40">
                  <c:v>9.39</c:v>
                </c:pt>
                <c:pt idx="41">
                  <c:v>4.9400000000000004</c:v>
                </c:pt>
                <c:pt idx="42">
                  <c:v>8.52</c:v>
                </c:pt>
                <c:pt idx="43">
                  <c:v>9.4600000000000009</c:v>
                </c:pt>
                <c:pt idx="44">
                  <c:v>2.4900000000000002</c:v>
                </c:pt>
                <c:pt idx="45">
                  <c:v>4.83</c:v>
                </c:pt>
                <c:pt idx="46">
                  <c:v>2.6</c:v>
                </c:pt>
                <c:pt idx="47">
                  <c:v>3.86</c:v>
                </c:pt>
                <c:pt idx="48">
                  <c:v>5.59</c:v>
                </c:pt>
                <c:pt idx="49">
                  <c:v>4</c:v>
                </c:pt>
                <c:pt idx="50">
                  <c:v>8.06</c:v>
                </c:pt>
                <c:pt idx="51">
                  <c:v>9.0500000000000007</c:v>
                </c:pt>
                <c:pt idx="52">
                  <c:v>2.46</c:v>
                </c:pt>
                <c:pt idx="53">
                  <c:v>6.92</c:v>
                </c:pt>
                <c:pt idx="54">
                  <c:v>9.36</c:v>
                </c:pt>
                <c:pt idx="55">
                  <c:v>8.74</c:v>
                </c:pt>
                <c:pt idx="56">
                  <c:v>3.74</c:v>
                </c:pt>
                <c:pt idx="57">
                  <c:v>7.88</c:v>
                </c:pt>
                <c:pt idx="58">
                  <c:v>4.05</c:v>
                </c:pt>
                <c:pt idx="59">
                  <c:v>7.83</c:v>
                </c:pt>
                <c:pt idx="60">
                  <c:v>6.23</c:v>
                </c:pt>
                <c:pt idx="61">
                  <c:v>3.25</c:v>
                </c:pt>
                <c:pt idx="62">
                  <c:v>5.71</c:v>
                </c:pt>
                <c:pt idx="63">
                  <c:v>7.16</c:v>
                </c:pt>
                <c:pt idx="64">
                  <c:v>9.09</c:v>
                </c:pt>
                <c:pt idx="65">
                  <c:v>3.4</c:v>
                </c:pt>
                <c:pt idx="66">
                  <c:v>2.36</c:v>
                </c:pt>
                <c:pt idx="67">
                  <c:v>3.3</c:v>
                </c:pt>
                <c:pt idx="68">
                  <c:v>6.25</c:v>
                </c:pt>
                <c:pt idx="69">
                  <c:v>8.9</c:v>
                </c:pt>
                <c:pt idx="70">
                  <c:v>6.5</c:v>
                </c:pt>
                <c:pt idx="71">
                  <c:v>5.85</c:v>
                </c:pt>
                <c:pt idx="72">
                  <c:v>6.85</c:v>
                </c:pt>
                <c:pt idx="73">
                  <c:v>4.66</c:v>
                </c:pt>
                <c:pt idx="74">
                  <c:v>9.41</c:v>
                </c:pt>
                <c:pt idx="75">
                  <c:v>5.17</c:v>
                </c:pt>
                <c:pt idx="76">
                  <c:v>3.79</c:v>
                </c:pt>
                <c:pt idx="77">
                  <c:v>1.81</c:v>
                </c:pt>
                <c:pt idx="78">
                  <c:v>3.32</c:v>
                </c:pt>
                <c:pt idx="79">
                  <c:v>8.44</c:v>
                </c:pt>
                <c:pt idx="80">
                  <c:v>1.76</c:v>
                </c:pt>
                <c:pt idx="81">
                  <c:v>5.3</c:v>
                </c:pt>
                <c:pt idx="82">
                  <c:v>3.3</c:v>
                </c:pt>
                <c:pt idx="83">
                  <c:v>9.24</c:v>
                </c:pt>
                <c:pt idx="84">
                  <c:v>9.23</c:v>
                </c:pt>
                <c:pt idx="85">
                  <c:v>3.89</c:v>
                </c:pt>
                <c:pt idx="86">
                  <c:v>4.6100000000000003</c:v>
                </c:pt>
                <c:pt idx="87">
                  <c:v>2.86</c:v>
                </c:pt>
                <c:pt idx="88">
                  <c:v>4.34</c:v>
                </c:pt>
                <c:pt idx="89">
                  <c:v>8.6199999999999992</c:v>
                </c:pt>
                <c:pt idx="90">
                  <c:v>7.23</c:v>
                </c:pt>
                <c:pt idx="91">
                  <c:v>7.74</c:v>
                </c:pt>
                <c:pt idx="92">
                  <c:v>1.53</c:v>
                </c:pt>
                <c:pt idx="93">
                  <c:v>6.27</c:v>
                </c:pt>
                <c:pt idx="94">
                  <c:v>3.19</c:v>
                </c:pt>
                <c:pt idx="95">
                  <c:v>6.73</c:v>
                </c:pt>
                <c:pt idx="96">
                  <c:v>6.8</c:v>
                </c:pt>
                <c:pt idx="97">
                  <c:v>5.69</c:v>
                </c:pt>
                <c:pt idx="98">
                  <c:v>6.09</c:v>
                </c:pt>
                <c:pt idx="99">
                  <c:v>1.82</c:v>
                </c:pt>
                <c:pt idx="100">
                  <c:v>8.31</c:v>
                </c:pt>
                <c:pt idx="101">
                  <c:v>4.01</c:v>
                </c:pt>
                <c:pt idx="102">
                  <c:v>8.19</c:v>
                </c:pt>
                <c:pt idx="103">
                  <c:v>3.5</c:v>
                </c:pt>
                <c:pt idx="104">
                  <c:v>6.19</c:v>
                </c:pt>
                <c:pt idx="105">
                  <c:v>4.66</c:v>
                </c:pt>
                <c:pt idx="106">
                  <c:v>8.56</c:v>
                </c:pt>
                <c:pt idx="107">
                  <c:v>5.34</c:v>
                </c:pt>
                <c:pt idx="108">
                  <c:v>4.3600000000000003</c:v>
                </c:pt>
                <c:pt idx="109">
                  <c:v>9.43</c:v>
                </c:pt>
                <c:pt idx="110">
                  <c:v>8.5500000000000007</c:v>
                </c:pt>
                <c:pt idx="111">
                  <c:v>7.24</c:v>
                </c:pt>
                <c:pt idx="112">
                  <c:v>3.91</c:v>
                </c:pt>
                <c:pt idx="113">
                  <c:v>8.02</c:v>
                </c:pt>
                <c:pt idx="114">
                  <c:v>9.24</c:v>
                </c:pt>
                <c:pt idx="115">
                  <c:v>8.59</c:v>
                </c:pt>
                <c:pt idx="116">
                  <c:v>8.5500000000000007</c:v>
                </c:pt>
                <c:pt idx="117">
                  <c:v>2.09</c:v>
                </c:pt>
                <c:pt idx="118">
                  <c:v>4.97</c:v>
                </c:pt>
                <c:pt idx="119">
                  <c:v>5.9</c:v>
                </c:pt>
                <c:pt idx="120">
                  <c:v>8.25</c:v>
                </c:pt>
                <c:pt idx="121">
                  <c:v>5.22</c:v>
                </c:pt>
                <c:pt idx="122">
                  <c:v>5.68</c:v>
                </c:pt>
                <c:pt idx="123">
                  <c:v>2.46</c:v>
                </c:pt>
                <c:pt idx="124">
                  <c:v>7.32</c:v>
                </c:pt>
                <c:pt idx="125">
                  <c:v>2.69</c:v>
                </c:pt>
                <c:pt idx="126">
                  <c:v>6.37</c:v>
                </c:pt>
                <c:pt idx="127">
                  <c:v>4.2</c:v>
                </c:pt>
                <c:pt idx="128">
                  <c:v>6.66</c:v>
                </c:pt>
                <c:pt idx="129">
                  <c:v>7.74</c:v>
                </c:pt>
                <c:pt idx="130">
                  <c:v>4.68</c:v>
                </c:pt>
                <c:pt idx="131">
                  <c:v>2.2200000000000002</c:v>
                </c:pt>
                <c:pt idx="132">
                  <c:v>2.56</c:v>
                </c:pt>
                <c:pt idx="133">
                  <c:v>5.23</c:v>
                </c:pt>
                <c:pt idx="134">
                  <c:v>2.0099999999999998</c:v>
                </c:pt>
                <c:pt idx="135">
                  <c:v>6.95</c:v>
                </c:pt>
                <c:pt idx="136">
                  <c:v>6.99</c:v>
                </c:pt>
                <c:pt idx="137">
                  <c:v>7.3</c:v>
                </c:pt>
                <c:pt idx="138">
                  <c:v>3.85</c:v>
                </c:pt>
                <c:pt idx="139">
                  <c:v>8.33</c:v>
                </c:pt>
                <c:pt idx="140">
                  <c:v>5.12</c:v>
                </c:pt>
                <c:pt idx="141">
                  <c:v>1.8</c:v>
                </c:pt>
                <c:pt idx="142">
                  <c:v>5.53</c:v>
                </c:pt>
                <c:pt idx="143">
                  <c:v>7.5</c:v>
                </c:pt>
                <c:pt idx="144">
                  <c:v>4.5</c:v>
                </c:pt>
                <c:pt idx="145">
                  <c:v>5.3</c:v>
                </c:pt>
                <c:pt idx="146">
                  <c:v>2.44</c:v>
                </c:pt>
                <c:pt idx="147">
                  <c:v>3.16</c:v>
                </c:pt>
                <c:pt idx="148">
                  <c:v>3.55</c:v>
                </c:pt>
                <c:pt idx="149">
                  <c:v>7.57</c:v>
                </c:pt>
                <c:pt idx="150">
                  <c:v>4.1100000000000003</c:v>
                </c:pt>
                <c:pt idx="151">
                  <c:v>3.16</c:v>
                </c:pt>
                <c:pt idx="152">
                  <c:v>3.49</c:v>
                </c:pt>
                <c:pt idx="153">
                  <c:v>2.62</c:v>
                </c:pt>
                <c:pt idx="154">
                  <c:v>8.7200000000000006</c:v>
                </c:pt>
                <c:pt idx="155">
                  <c:v>2.88</c:v>
                </c:pt>
                <c:pt idx="156">
                  <c:v>4.5599999999999996</c:v>
                </c:pt>
                <c:pt idx="157">
                  <c:v>5.52</c:v>
                </c:pt>
                <c:pt idx="158">
                  <c:v>3.48</c:v>
                </c:pt>
                <c:pt idx="159">
                  <c:v>4.04</c:v>
                </c:pt>
                <c:pt idx="160">
                  <c:v>5.42</c:v>
                </c:pt>
                <c:pt idx="161">
                  <c:v>6.19</c:v>
                </c:pt>
                <c:pt idx="162">
                  <c:v>7.83</c:v>
                </c:pt>
                <c:pt idx="163">
                  <c:v>3.86</c:v>
                </c:pt>
                <c:pt idx="164">
                  <c:v>8.99</c:v>
                </c:pt>
                <c:pt idx="165">
                  <c:v>3.5</c:v>
                </c:pt>
                <c:pt idx="166">
                  <c:v>8.1300000000000008</c:v>
                </c:pt>
                <c:pt idx="167">
                  <c:v>7.36</c:v>
                </c:pt>
                <c:pt idx="168">
                  <c:v>9.3000000000000007</c:v>
                </c:pt>
                <c:pt idx="169">
                  <c:v>1.53</c:v>
                </c:pt>
                <c:pt idx="170">
                  <c:v>5.41</c:v>
                </c:pt>
                <c:pt idx="171">
                  <c:v>1.99</c:v>
                </c:pt>
                <c:pt idx="172">
                  <c:v>6.08</c:v>
                </c:pt>
                <c:pt idx="173">
                  <c:v>7.97</c:v>
                </c:pt>
                <c:pt idx="174">
                  <c:v>4.68</c:v>
                </c:pt>
                <c:pt idx="175">
                  <c:v>8.9</c:v>
                </c:pt>
                <c:pt idx="176">
                  <c:v>2.65</c:v>
                </c:pt>
                <c:pt idx="177">
                  <c:v>5.43</c:v>
                </c:pt>
                <c:pt idx="178">
                  <c:v>8.09</c:v>
                </c:pt>
                <c:pt idx="179">
                  <c:v>2.89</c:v>
                </c:pt>
                <c:pt idx="180">
                  <c:v>4.4800000000000004</c:v>
                </c:pt>
                <c:pt idx="181">
                  <c:v>8.33</c:v>
                </c:pt>
                <c:pt idx="182">
                  <c:v>3.29</c:v>
                </c:pt>
                <c:pt idx="183">
                  <c:v>4.68</c:v>
                </c:pt>
                <c:pt idx="184">
                  <c:v>3.72</c:v>
                </c:pt>
                <c:pt idx="185">
                  <c:v>9.48</c:v>
                </c:pt>
                <c:pt idx="186">
                  <c:v>9.0299999999999994</c:v>
                </c:pt>
                <c:pt idx="187">
                  <c:v>9.08</c:v>
                </c:pt>
                <c:pt idx="188">
                  <c:v>6.58</c:v>
                </c:pt>
                <c:pt idx="189">
                  <c:v>9.4</c:v>
                </c:pt>
                <c:pt idx="190">
                  <c:v>6.11</c:v>
                </c:pt>
                <c:pt idx="191">
                  <c:v>8.64</c:v>
                </c:pt>
                <c:pt idx="192">
                  <c:v>1.87</c:v>
                </c:pt>
                <c:pt idx="193">
                  <c:v>4.7300000000000004</c:v>
                </c:pt>
                <c:pt idx="194">
                  <c:v>6.49</c:v>
                </c:pt>
                <c:pt idx="195">
                  <c:v>6.54</c:v>
                </c:pt>
                <c:pt idx="196">
                  <c:v>3.09</c:v>
                </c:pt>
                <c:pt idx="197">
                  <c:v>1.6</c:v>
                </c:pt>
                <c:pt idx="198">
                  <c:v>5.21</c:v>
                </c:pt>
                <c:pt idx="199">
                  <c:v>6.81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F-4AB1-BF3C-4921E1EC52E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EDC302D-0301-4C21-AA93-3EDF593D7C9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A7F-4AB1-BF3C-4921E1EC52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BB4501-5AC2-4CB4-B75D-724C7A4215D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A7F-4AB1-BF3C-4921E1EC52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759091-FF74-47D2-8B83-17527814E7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A7F-4AB1-BF3C-4921E1EC52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A2AFDD-B896-4AE3-8A64-FE0983C4EC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A7F-4AB1-BF3C-4921E1EC52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E49C02-C4A6-4E49-80ED-3E72D9F6F9E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A7F-4AB1-BF3C-4921E1EC52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DE3F88-1A41-4413-BF38-95BFEAA984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A7F-4AB1-BF3C-4921E1EC52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AA089B-A0B7-416F-A647-DDC77B880C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A7F-4AB1-BF3C-4921E1EC52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9C9B30-CA91-4412-88A8-74C811B5C9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A7F-4AB1-BF3C-4921E1EC52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3D2101-281C-4195-84EA-3986A0C17C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A7F-4AB1-BF3C-4921E1EC52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0760F5F-C71D-4025-B45D-2D107AD933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A7F-4AB1-BF3C-4921E1EC52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03B18C0-15FA-45FE-861B-61D7C3A03C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A7F-4AB1-BF3C-4921E1EC52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194E41-86FE-4DD8-B6B8-B4D19FA3E82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A7F-4AB1-BF3C-4921E1EC52E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677E4E1-38E5-4147-AFB9-D25960BDF1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A7F-4AB1-BF3C-4921E1EC52E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C426F0-046A-4604-AFAF-5B4AFD1E82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A7F-4AB1-BF3C-4921E1EC52E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1302467-FFEE-4199-B6BC-09664B5BBD5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A7F-4AB1-BF3C-4921E1EC52E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55F5E62-1056-4EF1-B783-49EAC79F41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A7F-4AB1-BF3C-4921E1EC52E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318AB78-F73E-4A5D-888A-7E3D65504E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A7F-4AB1-BF3C-4921E1EC52E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DEF751-668F-448D-BCD8-FF722EAFE2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A7F-4AB1-BF3C-4921E1EC52E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4658840-6F72-4A4F-A725-4C8DD30737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A7F-4AB1-BF3C-4921E1EC52E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6D01AEF-F405-4376-B769-3C17D0BDDD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A7F-4AB1-BF3C-4921E1EC52E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6216AF4-1184-454F-93CE-DBABFA3741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A7F-4AB1-BF3C-4921E1EC52E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24FDB42-92BE-4944-A0AC-F4C5C4F8A13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A7F-4AB1-BF3C-4921E1EC52E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4C5F959-68F1-4F3B-A92C-D7E02B1143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A7F-4AB1-BF3C-4921E1EC52E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DD71E66-E3EB-426F-AD4B-C381B456BDE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A7F-4AB1-BF3C-4921E1EC52E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DC6D16E-6526-4D6C-B8C2-CD120F4D22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A7F-4AB1-BF3C-4921E1EC52E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E32CD73-81B9-4599-8EAC-CB1D51BD3B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A7F-4AB1-BF3C-4921E1EC52E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35778A6-3730-478F-94FF-22FA15326D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A7F-4AB1-BF3C-4921E1EC52E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EF43BF3-E335-4135-B536-118E2FBE41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A7F-4AB1-BF3C-4921E1EC52E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7049ED6-10FB-400A-8DAC-11EBCE7782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A7F-4AB1-BF3C-4921E1EC52E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16DB038-07DB-4B09-AA62-DF30813882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A7F-4AB1-BF3C-4921E1EC52E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8FA7CCC-566B-4518-8FB1-4375D4EEF6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A7F-4AB1-BF3C-4921E1EC52E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233EECA-D0B5-43F1-AE6F-B711ADD21E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A7F-4AB1-BF3C-4921E1EC52E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96F5849-83F1-4AC1-88CD-6E30DA1077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A7F-4AB1-BF3C-4921E1EC52E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0E9C3FF-9839-441D-BE29-41F14413CE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A7F-4AB1-BF3C-4921E1EC52E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69B53DE-1730-4C60-9CC7-44EB3A2B68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A7F-4AB1-BF3C-4921E1EC52E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501D398-08CE-4BA1-9E8C-6AF15A04A0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A7F-4AB1-BF3C-4921E1EC52E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5AD8A5CF-2525-4221-8E64-41266E3447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A7F-4AB1-BF3C-4921E1EC52E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7DD71A2-97D3-408C-B03D-1E6D3F8FA7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A7F-4AB1-BF3C-4921E1EC52E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0B72541-82ED-4520-B4BA-6A363C6140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A7F-4AB1-BF3C-4921E1EC52E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8D45ECC-4AF6-4C82-9F48-40CDA5279E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A7F-4AB1-BF3C-4921E1EC52E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E13AA3C-14A1-40A6-B19B-19AB158125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A7F-4AB1-BF3C-4921E1EC52E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D8A652E-6D2F-4F44-94CB-2AA4799C6EA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A7F-4AB1-BF3C-4921E1EC52E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E588D9C-5E1E-46DC-989B-813178D189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A7F-4AB1-BF3C-4921E1EC52E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A668415-8A43-4A57-AFDE-63189E285D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A7F-4AB1-BF3C-4921E1EC52E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262CACC8-F8F7-459F-B7E1-778B3219C6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A7F-4AB1-BF3C-4921E1EC52E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46D9BEE-7472-4379-8889-5D8D793C631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A7F-4AB1-BF3C-4921E1EC52E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7BBD76F-BD51-4243-8A21-09B67F4718B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A7F-4AB1-BF3C-4921E1EC52E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5AA5D7A-947C-467C-8AF6-350E3961E4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A7F-4AB1-BF3C-4921E1EC52E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9261CC83-149F-4BDE-A0F8-D50679A49D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A7F-4AB1-BF3C-4921E1EC52E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8264934-F81D-44F5-AC91-79C841A241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A7F-4AB1-BF3C-4921E1EC52E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0781CC7-B59B-41D5-9E66-D6BD0CC506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A7F-4AB1-BF3C-4921E1EC52E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DE2E671-AA3F-4235-BAC5-377BD11A63D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A7F-4AB1-BF3C-4921E1EC52E2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79B9247-D978-4781-A244-FE04CC4491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A7F-4AB1-BF3C-4921E1EC52E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B4D7D1AD-0CAC-4087-A262-B1B83A17F1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A7F-4AB1-BF3C-4921E1EC52E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C390CBC-9C68-407D-BA2A-7A0D33D492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A7F-4AB1-BF3C-4921E1EC52E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505F7D1-D687-45F3-AADF-2C7FD732592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A7F-4AB1-BF3C-4921E1EC52E2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5FE07399-5F7D-4288-9F6D-ADC503FEC1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A7F-4AB1-BF3C-4921E1EC52E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AFE5E23A-BDEE-4E10-82C4-F9D8CC765D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A7F-4AB1-BF3C-4921E1EC52E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A1C92131-4D3F-4671-8EC4-0C6A74E99A4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A7F-4AB1-BF3C-4921E1EC52E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A3E280E6-1557-480D-8F91-FCD1EB9029B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8A7F-4AB1-BF3C-4921E1EC52E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15C3423F-311D-4206-94D4-A7788E62EB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8A7F-4AB1-BF3C-4921E1EC52E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AEB47FAD-8CB3-4D4D-96D5-33B021F66B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8A7F-4AB1-BF3C-4921E1EC52E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72A16448-7C79-492B-8387-A887F3B945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8A7F-4AB1-BF3C-4921E1EC52E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6E169426-64D0-4FFD-A54F-46052ACFB83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8A7F-4AB1-BF3C-4921E1EC52E2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3935E9D0-97B4-4D0E-9081-A67722A8D8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8A7F-4AB1-BF3C-4921E1EC52E2}"/>
                </c:ext>
              </c:extLst>
            </c:dLbl>
            <c:dLbl>
              <c:idx val="65"/>
              <c:layout>
                <c:manualLayout>
                  <c:x val="-4.7414741474147412E-2"/>
                  <c:y val="-3.3910205442560723E-2"/>
                </c:manualLayout>
              </c:layout>
              <c:tx>
                <c:rich>
                  <a:bodyPr/>
                  <a:lstStyle/>
                  <a:p>
                    <a:fld id="{0CB05CE9-CAFE-4A8F-B944-FDF654A5AC9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8A7F-4AB1-BF3C-4921E1EC52E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9FA9754-CB29-4884-A2B0-91F2CE80633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8A7F-4AB1-BF3C-4921E1EC52E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0C0B4827-E628-437E-9EBC-EACFC712485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8A7F-4AB1-BF3C-4921E1EC52E2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04CDD35C-E00A-4720-8959-A8AF581515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A7F-4AB1-BF3C-4921E1EC52E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1C068CB-E6CA-4CAA-9E53-99B70853B3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8A7F-4AB1-BF3C-4921E1EC52E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846B5ED6-3CF2-4231-A83B-33E3CF75C9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8A7F-4AB1-BF3C-4921E1EC52E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C9E1FED6-E4EF-4754-9B49-E0F0BF6A87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8A7F-4AB1-BF3C-4921E1EC52E2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2913AE5-D426-485F-AB88-B01DD0E2F5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8A7F-4AB1-BF3C-4921E1EC52E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B1F7B03-BBD2-490C-A349-17E86CE2D49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8A7F-4AB1-BF3C-4921E1EC52E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39A5AE5F-48DD-4B6D-A519-7AC64903CC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8A7F-4AB1-BF3C-4921E1EC52E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394D4BC9-BD5B-4276-8052-90C10ED113C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8A7F-4AB1-BF3C-4921E1EC52E2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B6C1A030-F5CF-4077-A3B9-05FE21B909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8A7F-4AB1-BF3C-4921E1EC52E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11C704DC-AA5D-4EB9-B649-8D6D70B118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8A7F-4AB1-BF3C-4921E1EC52E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40F47A4C-BA39-4BFF-A779-BB0B38E615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8A7F-4AB1-BF3C-4921E1EC52E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D505E3CD-6F0B-428E-87C1-52989BE80E0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8A7F-4AB1-BF3C-4921E1EC52E2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CB602C89-4281-4D02-82CF-5A9B080664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8A7F-4AB1-BF3C-4921E1EC52E2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7805F716-8D10-46DF-BB6E-0A8FDFE29FF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8A7F-4AB1-BF3C-4921E1EC52E2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9F4000B-CFE7-4746-A86A-ECC4A6EBF5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8A7F-4AB1-BF3C-4921E1EC52E2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858D022-EA5B-48DA-B14A-005F85FC9BB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8A7F-4AB1-BF3C-4921E1EC52E2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DADC194D-7381-4637-9EF1-15B8F35AF1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8A7F-4AB1-BF3C-4921E1EC52E2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D988D6B-F599-4B52-8907-A0C6E160FAF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8A7F-4AB1-BF3C-4921E1EC52E2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7C1CA6F7-8221-484F-8B25-542C697B078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8A7F-4AB1-BF3C-4921E1EC52E2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50ED27D-3004-4801-8776-70B520363F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8A7F-4AB1-BF3C-4921E1EC52E2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2729A78D-0FAF-4562-935E-672F0B8A13A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8A7F-4AB1-BF3C-4921E1EC52E2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E5C7BAB-2D18-4696-97C9-7E20924249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8A7F-4AB1-BF3C-4921E1EC52E2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DDEFCDB-17F4-4567-8CAB-91AB5F1158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8A7F-4AB1-BF3C-4921E1EC52E2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F83E9994-6B54-45CA-80E5-45AA5213AE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8A7F-4AB1-BF3C-4921E1EC52E2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181CDCA-CC73-47DD-ADCA-62E3153CCB3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8A7F-4AB1-BF3C-4921E1EC52E2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1A74E287-F1C5-48A4-B4CA-FF74B094E9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8A7F-4AB1-BF3C-4921E1EC52E2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E0DEC200-AA11-4CBE-B26F-85B5457D40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8A7F-4AB1-BF3C-4921E1EC52E2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53DEEB83-AD4B-4920-B781-8604EFDA13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8A7F-4AB1-BF3C-4921E1EC52E2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1D729036-8FBD-40D5-8436-7DC62EE474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8A7F-4AB1-BF3C-4921E1EC52E2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3DFA2CC1-F72F-4AD6-9103-3D3000DAA1B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8A7F-4AB1-BF3C-4921E1EC52E2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BCC4226B-3DB5-4C2C-AE98-509C5FE1E3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8A7F-4AB1-BF3C-4921E1EC52E2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67819114-8A3D-40E4-8374-BB8CC6827F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8A7F-4AB1-BF3C-4921E1EC52E2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6DE0968C-3A6D-400A-A204-C887047F11B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8A7F-4AB1-BF3C-4921E1EC52E2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D2F3C824-DD48-4C68-855A-1D54D20E07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8A7F-4AB1-BF3C-4921E1EC52E2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8F9E0D8C-214E-4C2F-B0AF-9D455EFC46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8A7F-4AB1-BF3C-4921E1EC52E2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69BD6435-04FF-4D42-A546-605726EB52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8A7F-4AB1-BF3C-4921E1EC52E2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73E6AC3A-7D5F-422A-9FBB-71ED094608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8A7F-4AB1-BF3C-4921E1EC52E2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C244364C-EBBC-4FA5-B2B3-519552DF6EB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8A7F-4AB1-BF3C-4921E1EC52E2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72DBEE3-FAB0-4397-8D75-5366F96FEF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8A7F-4AB1-BF3C-4921E1EC52E2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C775860-3861-405C-9DEB-663681FD47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8A7F-4AB1-BF3C-4921E1EC52E2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3BBD251-9DB8-4771-B48A-4327F6DC45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8A7F-4AB1-BF3C-4921E1EC52E2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7C3E89A-F8C6-4978-8651-87FD435221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8A7F-4AB1-BF3C-4921E1EC52E2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E9C082CF-C4AF-4F2E-9C3E-4C6F2E7181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8A7F-4AB1-BF3C-4921E1EC52E2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1D5DC8E8-B719-42F2-965C-25987BB6B6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8A7F-4AB1-BF3C-4921E1EC52E2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2F621CB-9F40-4277-914B-0F53078F98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8A7F-4AB1-BF3C-4921E1EC52E2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2349421B-BDCA-4209-A1EF-B6AD56404A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8A7F-4AB1-BF3C-4921E1EC52E2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8DCDCB07-78AB-4445-851E-3EF1689D01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8A7F-4AB1-BF3C-4921E1EC52E2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793A20AB-0B84-4F6C-BDBE-3F14AE06432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8A7F-4AB1-BF3C-4921E1EC52E2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A7CCF6B9-9807-40AB-BBED-3E9276711AF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8A7F-4AB1-BF3C-4921E1EC52E2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1038C790-BC7A-4F53-A72A-62EEA6CEB7D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8A7F-4AB1-BF3C-4921E1EC52E2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2E0BC3E3-BE0C-40A9-A596-9FDAED48F4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8A7F-4AB1-BF3C-4921E1EC52E2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1DC77C74-95B9-4364-81F9-56F512F2F07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8A7F-4AB1-BF3C-4921E1EC52E2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1ABF1A8C-8706-4516-BCFF-A99BFDF5D38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8A7F-4AB1-BF3C-4921E1EC52E2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826198D7-E629-4B29-89C0-2B6D8D034B7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8A7F-4AB1-BF3C-4921E1EC52E2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CC77CFB6-9103-418C-AC18-D63AFFAC88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8A7F-4AB1-BF3C-4921E1EC52E2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9EDE26F0-DC2F-48A5-BD08-C0DF74FBA0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8A7F-4AB1-BF3C-4921E1EC52E2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E7730B08-C9BC-4F98-9CA2-9C967BC57DD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8A7F-4AB1-BF3C-4921E1EC52E2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4BBA5CF7-1449-49BA-87DB-9638962E90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8A7F-4AB1-BF3C-4921E1EC52E2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CAA4FCAA-2904-4D66-98CB-3275ACB67E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8A7F-4AB1-BF3C-4921E1EC52E2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17B9BDA8-B3B1-46A6-852C-0417F968107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8A7F-4AB1-BF3C-4921E1EC52E2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36AC0B80-7E4E-47DF-9859-E9B9FAE1BD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8A7F-4AB1-BF3C-4921E1EC52E2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7244AAE6-4E19-4ABC-A807-71B0D4E3B4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8A7F-4AB1-BF3C-4921E1EC52E2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C383FD8B-F46F-403C-B1FA-F05C28CBE12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8A7F-4AB1-BF3C-4921E1EC52E2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B03BDE8B-67A4-42D5-8F4B-84582E4901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8A7F-4AB1-BF3C-4921E1EC52E2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FE0B9294-AE16-46C9-87EF-194B6F770A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8A7F-4AB1-BF3C-4921E1EC52E2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51DDA2F2-5C7A-4C11-BF8F-40557D66AD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8A7F-4AB1-BF3C-4921E1EC52E2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E97894B2-1FD7-4749-BFA3-BE880FB19C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8A7F-4AB1-BF3C-4921E1EC52E2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5D946713-B5A5-447B-942E-C8ACEF9C623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8A7F-4AB1-BF3C-4921E1EC52E2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93C31BE9-8F9E-4AD3-8DCC-61F46211FE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8A7F-4AB1-BF3C-4921E1EC52E2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EDC27693-BE42-4C89-992F-93EC7E9781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8A7F-4AB1-BF3C-4921E1EC52E2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FC531FE6-7AF8-4090-AD69-FBED32C7D7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8A7F-4AB1-BF3C-4921E1EC52E2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2AEE9517-F387-48E7-9D91-8730F5E577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8A7F-4AB1-BF3C-4921E1EC52E2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B61E1726-6D70-4E17-B85A-47D38E7DEF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8A7F-4AB1-BF3C-4921E1EC52E2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79E0B084-8DA0-4715-8DA8-13726C54CA3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8A7F-4AB1-BF3C-4921E1EC52E2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2B5AC132-ABA4-46C1-888A-9075FF5B78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8A7F-4AB1-BF3C-4921E1EC52E2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B7DC5BA3-CBBA-42DB-89E3-B9E72D0606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8A7F-4AB1-BF3C-4921E1EC52E2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9710007D-DDC8-4193-87EE-F7B3DD0ECFD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8A7F-4AB1-BF3C-4921E1EC52E2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BC68026F-ED95-4C57-AB11-43EACF7171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8A7F-4AB1-BF3C-4921E1EC52E2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EE8EF7D2-3774-4595-A50E-24A3B1F32A0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8A7F-4AB1-BF3C-4921E1EC52E2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0B7E390-2608-4C03-B6CB-15F9672251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8A7F-4AB1-BF3C-4921E1EC52E2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36524FD9-6F31-4A9E-9B45-AEB6BC3565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8A7F-4AB1-BF3C-4921E1EC52E2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7923EF8E-5FDD-4790-AB5A-ADC90B0C766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8A7F-4AB1-BF3C-4921E1EC52E2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3602A22A-F0E5-40FA-8954-155835655B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8A7F-4AB1-BF3C-4921E1EC52E2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467AA3BC-9C52-4947-822F-9E57D7C01A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8A7F-4AB1-BF3C-4921E1EC52E2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8DA4E00C-F840-4B17-AF0A-C0FC9ED1B1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8A7F-4AB1-BF3C-4921E1EC52E2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5778577A-1069-436E-A1B2-1656962DD2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8A7F-4AB1-BF3C-4921E1EC52E2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F3B1EE25-F5F8-42FE-950F-1DB7CA8062C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8A7F-4AB1-BF3C-4921E1EC52E2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C41049E1-7F29-4FD7-8CAD-F939A37CA9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8A7F-4AB1-BF3C-4921E1EC52E2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465ECC32-BE2B-4B19-AFDB-47164DEFE4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8A7F-4AB1-BF3C-4921E1EC52E2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70208AB-26E6-45F8-92B4-D88864C169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8A7F-4AB1-BF3C-4921E1EC52E2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8E3DDBA3-D5B1-4D61-91F7-B01D168EC6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8A7F-4AB1-BF3C-4921E1EC52E2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6C2D50F8-7939-4D49-B641-B66A558A5D6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8A7F-4AB1-BF3C-4921E1EC52E2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FCBA0976-CC2A-440C-9B1A-23115B8F1B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8A7F-4AB1-BF3C-4921E1EC52E2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982204B1-4F46-4381-B53C-AECED3949A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8A7F-4AB1-BF3C-4921E1EC52E2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FD70CEA8-7287-49E2-BEDE-8B6E79766E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8A7F-4AB1-BF3C-4921E1EC52E2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B1F8E984-F0BD-4504-A408-273BE68140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8A7F-4AB1-BF3C-4921E1EC52E2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9071BE77-E1B5-4B87-AB3E-A8EA6C845E9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8A7F-4AB1-BF3C-4921E1EC52E2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ABBD0776-D084-404C-ACD7-60C0D0DED8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8A7F-4AB1-BF3C-4921E1EC52E2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E576DED3-9AF0-4B38-A064-82281037E2F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8A7F-4AB1-BF3C-4921E1EC52E2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0857895D-3E97-42F2-8BA7-A5B2C1168B8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8A7F-4AB1-BF3C-4921E1EC52E2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4025D617-14D4-4408-9089-7A569BC016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8A7F-4AB1-BF3C-4921E1EC52E2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F0C51D21-401F-4888-96EA-C1EAE87F2E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8A7F-4AB1-BF3C-4921E1EC52E2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B3312C24-9AAF-4BC5-B434-2756C2DC09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8A7F-4AB1-BF3C-4921E1EC52E2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9A06F24D-ABBB-4273-BA04-C3F73683A70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8A7F-4AB1-BF3C-4921E1EC52E2}"/>
                </c:ext>
              </c:extLst>
            </c:dLbl>
            <c:dLbl>
              <c:idx val="172"/>
              <c:layout>
                <c:manualLayout>
                  <c:x val="-4.2734798414224694E-2"/>
                  <c:y val="-3.0897176126599809E-2"/>
                </c:manualLayout>
              </c:layout>
              <c:tx>
                <c:rich>
                  <a:bodyPr/>
                  <a:lstStyle/>
                  <a:p>
                    <a:fld id="{7691B732-CD3E-4698-9325-055FB29D353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D-8A7F-4AB1-BF3C-4921E1EC52E2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6FD17748-6E17-432E-B895-0B791DEB58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8A7F-4AB1-BF3C-4921E1EC52E2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2723978B-1309-491A-A946-2A340A7539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8A7F-4AB1-BF3C-4921E1EC52E2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5E37B1F2-9F67-4FD6-A826-D8B1938C29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8A7F-4AB1-BF3C-4921E1EC52E2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DF9BEA25-922F-4F71-A56F-B0B2CB4862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8A7F-4AB1-BF3C-4921E1EC52E2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F97ED609-E920-4FF6-BB67-EC9F89E285B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8A7F-4AB1-BF3C-4921E1EC52E2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50048CCB-EE36-4AE8-8A25-667B2364C0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8A7F-4AB1-BF3C-4921E1EC52E2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64753D75-19C3-4B3A-8A36-8422C6ED04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8A7F-4AB1-BF3C-4921E1EC52E2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EF065BA6-863F-4AF4-9052-D78310D382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8A7F-4AB1-BF3C-4921E1EC52E2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D4C12437-30D6-4352-8999-69C87805B5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8A7F-4AB1-BF3C-4921E1EC52E2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7DDD20AD-8868-48FB-9822-06804B0467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8A7F-4AB1-BF3C-4921E1EC52E2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DCEBCEEB-92BC-469E-A636-52B82DD2A0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8A7F-4AB1-BF3C-4921E1EC52E2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9E7E95E9-654D-43EE-AFCF-0668A2AC57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8A7F-4AB1-BF3C-4921E1EC52E2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DD2AF0C5-BF20-42D0-A39C-F299C0BBD5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8A7F-4AB1-BF3C-4921E1EC52E2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74DBB515-0C97-4D02-931D-A4AA863816D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8A7F-4AB1-BF3C-4921E1EC52E2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0068F2CA-3EFA-4373-9F1B-F6C7DAD60B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8A7F-4AB1-BF3C-4921E1EC52E2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AAEFB69E-1BE4-41A3-9139-D53D90ACF9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8A7F-4AB1-BF3C-4921E1EC52E2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B973CABC-915E-4D8E-9EB0-1425BB17E7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8A7F-4AB1-BF3C-4921E1EC52E2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A9EE3DD2-C265-4723-87FB-A1629B5FE2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8A7F-4AB1-BF3C-4921E1EC52E2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D3E901E2-826A-424C-829C-D9A557A1EE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8A7F-4AB1-BF3C-4921E1EC52E2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05432433-6EDE-430A-BF2B-4D70120E88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8A7F-4AB1-BF3C-4921E1EC52E2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5012583-9C99-4FF0-934A-04E6536540E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8A7F-4AB1-BF3C-4921E1EC52E2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0E1C84B2-0836-41E7-AB20-4BAD186BF1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8A7F-4AB1-BF3C-4921E1EC52E2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56142693-1572-4946-BB51-ECA8DBC8BC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8A7F-4AB1-BF3C-4921E1EC52E2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B5D7FAE0-3F36-4776-B0FF-1089667F8F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8A7F-4AB1-BF3C-4921E1EC52E2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1A88250-0C4A-4AF9-8A34-1D203A8A9E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8A7F-4AB1-BF3C-4921E1EC52E2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C03A13D1-F60E-4CF9-854F-C33C6072C80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8A7F-4AB1-BF3C-4921E1EC52E2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9DF25473-269C-42DE-8128-E3AAD5EBD0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8A7F-4AB1-BF3C-4921E1EC5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[1]Engagement_vs_AdSpend!$C$4:$C$203</c:f>
              <c:numCache>
                <c:formatCode>General</c:formatCode>
                <c:ptCount val="200"/>
                <c:pt idx="0">
                  <c:v>1312</c:v>
                </c:pt>
                <c:pt idx="1">
                  <c:v>1697</c:v>
                </c:pt>
                <c:pt idx="2">
                  <c:v>1753</c:v>
                </c:pt>
                <c:pt idx="3">
                  <c:v>1779</c:v>
                </c:pt>
                <c:pt idx="4">
                  <c:v>505</c:v>
                </c:pt>
                <c:pt idx="5">
                  <c:v>350</c:v>
                </c:pt>
                <c:pt idx="6">
                  <c:v>170</c:v>
                </c:pt>
                <c:pt idx="7">
                  <c:v>1391</c:v>
                </c:pt>
                <c:pt idx="8">
                  <c:v>160</c:v>
                </c:pt>
                <c:pt idx="9">
                  <c:v>214</c:v>
                </c:pt>
                <c:pt idx="10">
                  <c:v>1534</c:v>
                </c:pt>
                <c:pt idx="11">
                  <c:v>1078</c:v>
                </c:pt>
                <c:pt idx="12">
                  <c:v>248</c:v>
                </c:pt>
                <c:pt idx="13">
                  <c:v>1520</c:v>
                </c:pt>
                <c:pt idx="14">
                  <c:v>1842</c:v>
                </c:pt>
                <c:pt idx="15">
                  <c:v>443</c:v>
                </c:pt>
                <c:pt idx="16">
                  <c:v>198</c:v>
                </c:pt>
                <c:pt idx="17">
                  <c:v>250</c:v>
                </c:pt>
                <c:pt idx="18">
                  <c:v>1929</c:v>
                </c:pt>
                <c:pt idx="19">
                  <c:v>643</c:v>
                </c:pt>
                <c:pt idx="20">
                  <c:v>508</c:v>
                </c:pt>
                <c:pt idx="21">
                  <c:v>859</c:v>
                </c:pt>
                <c:pt idx="22">
                  <c:v>947</c:v>
                </c:pt>
                <c:pt idx="23">
                  <c:v>171</c:v>
                </c:pt>
                <c:pt idx="24">
                  <c:v>513</c:v>
                </c:pt>
                <c:pt idx="25">
                  <c:v>1710</c:v>
                </c:pt>
                <c:pt idx="26">
                  <c:v>1902</c:v>
                </c:pt>
                <c:pt idx="27">
                  <c:v>1514</c:v>
                </c:pt>
                <c:pt idx="28">
                  <c:v>1623</c:v>
                </c:pt>
                <c:pt idx="29">
                  <c:v>1155</c:v>
                </c:pt>
                <c:pt idx="30">
                  <c:v>1980</c:v>
                </c:pt>
                <c:pt idx="31">
                  <c:v>816</c:v>
                </c:pt>
                <c:pt idx="32">
                  <c:v>651</c:v>
                </c:pt>
                <c:pt idx="33">
                  <c:v>663</c:v>
                </c:pt>
                <c:pt idx="34">
                  <c:v>1249</c:v>
                </c:pt>
                <c:pt idx="35">
                  <c:v>1159</c:v>
                </c:pt>
                <c:pt idx="36">
                  <c:v>1294</c:v>
                </c:pt>
                <c:pt idx="37">
                  <c:v>1895</c:v>
                </c:pt>
                <c:pt idx="38">
                  <c:v>1884</c:v>
                </c:pt>
                <c:pt idx="39">
                  <c:v>345</c:v>
                </c:pt>
                <c:pt idx="40">
                  <c:v>1098</c:v>
                </c:pt>
                <c:pt idx="41">
                  <c:v>1358</c:v>
                </c:pt>
                <c:pt idx="42">
                  <c:v>609</c:v>
                </c:pt>
                <c:pt idx="43">
                  <c:v>988</c:v>
                </c:pt>
                <c:pt idx="44">
                  <c:v>1307</c:v>
                </c:pt>
                <c:pt idx="45">
                  <c:v>198</c:v>
                </c:pt>
                <c:pt idx="46">
                  <c:v>1375</c:v>
                </c:pt>
                <c:pt idx="47">
                  <c:v>833</c:v>
                </c:pt>
                <c:pt idx="48">
                  <c:v>405</c:v>
                </c:pt>
                <c:pt idx="49">
                  <c:v>837</c:v>
                </c:pt>
                <c:pt idx="50">
                  <c:v>1135</c:v>
                </c:pt>
                <c:pt idx="51">
                  <c:v>656</c:v>
                </c:pt>
                <c:pt idx="52">
                  <c:v>1048</c:v>
                </c:pt>
                <c:pt idx="53">
                  <c:v>911</c:v>
                </c:pt>
                <c:pt idx="54">
                  <c:v>226</c:v>
                </c:pt>
                <c:pt idx="55">
                  <c:v>1757</c:v>
                </c:pt>
                <c:pt idx="56">
                  <c:v>1960</c:v>
                </c:pt>
                <c:pt idx="57">
                  <c:v>508</c:v>
                </c:pt>
                <c:pt idx="58">
                  <c:v>653</c:v>
                </c:pt>
                <c:pt idx="59">
                  <c:v>645</c:v>
                </c:pt>
                <c:pt idx="60">
                  <c:v>1528</c:v>
                </c:pt>
                <c:pt idx="61">
                  <c:v>215</c:v>
                </c:pt>
                <c:pt idx="62">
                  <c:v>1685</c:v>
                </c:pt>
                <c:pt idx="63">
                  <c:v>1429</c:v>
                </c:pt>
                <c:pt idx="64">
                  <c:v>1592</c:v>
                </c:pt>
                <c:pt idx="65">
                  <c:v>778</c:v>
                </c:pt>
                <c:pt idx="66">
                  <c:v>817</c:v>
                </c:pt>
                <c:pt idx="67">
                  <c:v>1433</c:v>
                </c:pt>
                <c:pt idx="68">
                  <c:v>1939</c:v>
                </c:pt>
                <c:pt idx="69">
                  <c:v>1527</c:v>
                </c:pt>
                <c:pt idx="70">
                  <c:v>703</c:v>
                </c:pt>
                <c:pt idx="71">
                  <c:v>642</c:v>
                </c:pt>
                <c:pt idx="72">
                  <c:v>1466</c:v>
                </c:pt>
                <c:pt idx="73">
                  <c:v>1075</c:v>
                </c:pt>
                <c:pt idx="74">
                  <c:v>187</c:v>
                </c:pt>
                <c:pt idx="75">
                  <c:v>1854</c:v>
                </c:pt>
                <c:pt idx="76">
                  <c:v>1696</c:v>
                </c:pt>
                <c:pt idx="77">
                  <c:v>1494</c:v>
                </c:pt>
                <c:pt idx="78">
                  <c:v>1502</c:v>
                </c:pt>
                <c:pt idx="79">
                  <c:v>1092</c:v>
                </c:pt>
                <c:pt idx="80">
                  <c:v>1814</c:v>
                </c:pt>
                <c:pt idx="81">
                  <c:v>1013</c:v>
                </c:pt>
                <c:pt idx="82">
                  <c:v>1855</c:v>
                </c:pt>
                <c:pt idx="83">
                  <c:v>1748</c:v>
                </c:pt>
                <c:pt idx="84">
                  <c:v>115</c:v>
                </c:pt>
                <c:pt idx="85">
                  <c:v>1556</c:v>
                </c:pt>
                <c:pt idx="86">
                  <c:v>1957</c:v>
                </c:pt>
                <c:pt idx="87">
                  <c:v>1138</c:v>
                </c:pt>
                <c:pt idx="88">
                  <c:v>1440</c:v>
                </c:pt>
                <c:pt idx="89">
                  <c:v>1371</c:v>
                </c:pt>
                <c:pt idx="90">
                  <c:v>393</c:v>
                </c:pt>
                <c:pt idx="91">
                  <c:v>1102</c:v>
                </c:pt>
                <c:pt idx="92">
                  <c:v>490</c:v>
                </c:pt>
                <c:pt idx="93">
                  <c:v>1033</c:v>
                </c:pt>
                <c:pt idx="94">
                  <c:v>559</c:v>
                </c:pt>
                <c:pt idx="95">
                  <c:v>198</c:v>
                </c:pt>
                <c:pt idx="96">
                  <c:v>961</c:v>
                </c:pt>
                <c:pt idx="97">
                  <c:v>1693</c:v>
                </c:pt>
                <c:pt idx="98">
                  <c:v>1957</c:v>
                </c:pt>
                <c:pt idx="99">
                  <c:v>1765</c:v>
                </c:pt>
                <c:pt idx="100">
                  <c:v>584</c:v>
                </c:pt>
                <c:pt idx="101">
                  <c:v>436</c:v>
                </c:pt>
                <c:pt idx="102">
                  <c:v>1335</c:v>
                </c:pt>
                <c:pt idx="103">
                  <c:v>1238</c:v>
                </c:pt>
                <c:pt idx="104">
                  <c:v>1420</c:v>
                </c:pt>
                <c:pt idx="105">
                  <c:v>987</c:v>
                </c:pt>
                <c:pt idx="106">
                  <c:v>704</c:v>
                </c:pt>
                <c:pt idx="107">
                  <c:v>1701</c:v>
                </c:pt>
                <c:pt idx="108">
                  <c:v>1756</c:v>
                </c:pt>
                <c:pt idx="109">
                  <c:v>826</c:v>
                </c:pt>
                <c:pt idx="110">
                  <c:v>485</c:v>
                </c:pt>
                <c:pt idx="111">
                  <c:v>1751</c:v>
                </c:pt>
                <c:pt idx="112">
                  <c:v>1300</c:v>
                </c:pt>
                <c:pt idx="113">
                  <c:v>557</c:v>
                </c:pt>
                <c:pt idx="114">
                  <c:v>751</c:v>
                </c:pt>
                <c:pt idx="115">
                  <c:v>1472</c:v>
                </c:pt>
                <c:pt idx="116">
                  <c:v>1911</c:v>
                </c:pt>
                <c:pt idx="117">
                  <c:v>752</c:v>
                </c:pt>
                <c:pt idx="118">
                  <c:v>437</c:v>
                </c:pt>
                <c:pt idx="119">
                  <c:v>201</c:v>
                </c:pt>
                <c:pt idx="120">
                  <c:v>697</c:v>
                </c:pt>
                <c:pt idx="121">
                  <c:v>191</c:v>
                </c:pt>
                <c:pt idx="122">
                  <c:v>1821</c:v>
                </c:pt>
                <c:pt idx="123">
                  <c:v>1487</c:v>
                </c:pt>
                <c:pt idx="124">
                  <c:v>628</c:v>
                </c:pt>
                <c:pt idx="125">
                  <c:v>330</c:v>
                </c:pt>
                <c:pt idx="126">
                  <c:v>1441</c:v>
                </c:pt>
                <c:pt idx="127">
                  <c:v>1937</c:v>
                </c:pt>
                <c:pt idx="128">
                  <c:v>1592</c:v>
                </c:pt>
                <c:pt idx="129">
                  <c:v>1137</c:v>
                </c:pt>
                <c:pt idx="130">
                  <c:v>1786</c:v>
                </c:pt>
                <c:pt idx="131">
                  <c:v>1633</c:v>
                </c:pt>
                <c:pt idx="132">
                  <c:v>118</c:v>
                </c:pt>
                <c:pt idx="133">
                  <c:v>1040</c:v>
                </c:pt>
                <c:pt idx="134">
                  <c:v>1501</c:v>
                </c:pt>
                <c:pt idx="135">
                  <c:v>927</c:v>
                </c:pt>
                <c:pt idx="136">
                  <c:v>1587</c:v>
                </c:pt>
                <c:pt idx="137">
                  <c:v>362</c:v>
                </c:pt>
                <c:pt idx="138">
                  <c:v>861</c:v>
                </c:pt>
                <c:pt idx="139">
                  <c:v>946</c:v>
                </c:pt>
                <c:pt idx="140">
                  <c:v>1399</c:v>
                </c:pt>
                <c:pt idx="141">
                  <c:v>1077</c:v>
                </c:pt>
                <c:pt idx="142">
                  <c:v>364</c:v>
                </c:pt>
                <c:pt idx="143">
                  <c:v>1946</c:v>
                </c:pt>
                <c:pt idx="144">
                  <c:v>1432</c:v>
                </c:pt>
                <c:pt idx="145">
                  <c:v>353</c:v>
                </c:pt>
                <c:pt idx="146">
                  <c:v>1147</c:v>
                </c:pt>
                <c:pt idx="147">
                  <c:v>1222</c:v>
                </c:pt>
                <c:pt idx="148">
                  <c:v>1581</c:v>
                </c:pt>
                <c:pt idx="149">
                  <c:v>337</c:v>
                </c:pt>
                <c:pt idx="150">
                  <c:v>1535</c:v>
                </c:pt>
                <c:pt idx="151">
                  <c:v>1197</c:v>
                </c:pt>
                <c:pt idx="152">
                  <c:v>403</c:v>
                </c:pt>
                <c:pt idx="153">
                  <c:v>308</c:v>
                </c:pt>
                <c:pt idx="154">
                  <c:v>144</c:v>
                </c:pt>
                <c:pt idx="155">
                  <c:v>883</c:v>
                </c:pt>
                <c:pt idx="156">
                  <c:v>224</c:v>
                </c:pt>
                <c:pt idx="157">
                  <c:v>804</c:v>
                </c:pt>
                <c:pt idx="158">
                  <c:v>576</c:v>
                </c:pt>
                <c:pt idx="159">
                  <c:v>460</c:v>
                </c:pt>
                <c:pt idx="160">
                  <c:v>1210</c:v>
                </c:pt>
                <c:pt idx="161">
                  <c:v>221</c:v>
                </c:pt>
                <c:pt idx="162">
                  <c:v>422</c:v>
                </c:pt>
                <c:pt idx="163">
                  <c:v>728</c:v>
                </c:pt>
                <c:pt idx="164">
                  <c:v>1409</c:v>
                </c:pt>
                <c:pt idx="165">
                  <c:v>123</c:v>
                </c:pt>
                <c:pt idx="166">
                  <c:v>1218</c:v>
                </c:pt>
                <c:pt idx="167">
                  <c:v>1918</c:v>
                </c:pt>
                <c:pt idx="168">
                  <c:v>307</c:v>
                </c:pt>
                <c:pt idx="169">
                  <c:v>414</c:v>
                </c:pt>
                <c:pt idx="170">
                  <c:v>1707</c:v>
                </c:pt>
                <c:pt idx="171">
                  <c:v>1814</c:v>
                </c:pt>
                <c:pt idx="172">
                  <c:v>1507</c:v>
                </c:pt>
                <c:pt idx="173">
                  <c:v>454</c:v>
                </c:pt>
                <c:pt idx="174">
                  <c:v>278</c:v>
                </c:pt>
                <c:pt idx="175">
                  <c:v>1293</c:v>
                </c:pt>
                <c:pt idx="176">
                  <c:v>452</c:v>
                </c:pt>
                <c:pt idx="177">
                  <c:v>736</c:v>
                </c:pt>
                <c:pt idx="178">
                  <c:v>1004</c:v>
                </c:pt>
                <c:pt idx="179">
                  <c:v>1900</c:v>
                </c:pt>
                <c:pt idx="180">
                  <c:v>1495</c:v>
                </c:pt>
                <c:pt idx="181">
                  <c:v>891</c:v>
                </c:pt>
                <c:pt idx="182">
                  <c:v>1331</c:v>
                </c:pt>
                <c:pt idx="183">
                  <c:v>1166</c:v>
                </c:pt>
                <c:pt idx="184">
                  <c:v>1411</c:v>
                </c:pt>
                <c:pt idx="185">
                  <c:v>152</c:v>
                </c:pt>
                <c:pt idx="186">
                  <c:v>1707</c:v>
                </c:pt>
                <c:pt idx="187">
                  <c:v>1662</c:v>
                </c:pt>
                <c:pt idx="188">
                  <c:v>1063</c:v>
                </c:pt>
                <c:pt idx="189">
                  <c:v>510</c:v>
                </c:pt>
                <c:pt idx="190">
                  <c:v>1658</c:v>
                </c:pt>
                <c:pt idx="191">
                  <c:v>1596</c:v>
                </c:pt>
                <c:pt idx="192">
                  <c:v>442</c:v>
                </c:pt>
                <c:pt idx="193">
                  <c:v>1957</c:v>
                </c:pt>
                <c:pt idx="194">
                  <c:v>623</c:v>
                </c:pt>
                <c:pt idx="195">
                  <c:v>520</c:v>
                </c:pt>
                <c:pt idx="196">
                  <c:v>1707</c:v>
                </c:pt>
                <c:pt idx="197">
                  <c:v>777</c:v>
                </c:pt>
                <c:pt idx="198">
                  <c:v>1035</c:v>
                </c:pt>
                <c:pt idx="199">
                  <c:v>119</c:v>
                </c:pt>
              </c:numCache>
            </c:numRef>
          </c:xVal>
          <c:yVal>
            <c:numRef>
              <c:f>[1]Engagement_vs_AdSpend!$G$4:$G$203</c:f>
              <c:numCache>
                <c:formatCode>General</c:formatCode>
                <c:ptCount val="200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  <c:pt idx="50">
                  <c:v>5904</c:v>
                </c:pt>
                <c:pt idx="51">
                  <c:v>9920</c:v>
                </c:pt>
                <c:pt idx="52">
                  <c:v>11329</c:v>
                </c:pt>
                <c:pt idx="53">
                  <c:v>18050</c:v>
                </c:pt>
                <c:pt idx="54">
                  <c:v>9566</c:v>
                </c:pt>
                <c:pt idx="55">
                  <c:v>22728</c:v>
                </c:pt>
                <c:pt idx="56">
                  <c:v>10740</c:v>
                </c:pt>
                <c:pt idx="57">
                  <c:v>17328</c:v>
                </c:pt>
                <c:pt idx="58">
                  <c:v>15353</c:v>
                </c:pt>
                <c:pt idx="59">
                  <c:v>49303</c:v>
                </c:pt>
                <c:pt idx="60">
                  <c:v>47101</c:v>
                </c:pt>
                <c:pt idx="61">
                  <c:v>35501</c:v>
                </c:pt>
                <c:pt idx="62">
                  <c:v>24913</c:v>
                </c:pt>
                <c:pt idx="63">
                  <c:v>37829</c:v>
                </c:pt>
                <c:pt idx="64">
                  <c:v>26663</c:v>
                </c:pt>
                <c:pt idx="65">
                  <c:v>21939</c:v>
                </c:pt>
                <c:pt idx="66">
                  <c:v>1083</c:v>
                </c:pt>
                <c:pt idx="67">
                  <c:v>30575</c:v>
                </c:pt>
                <c:pt idx="68">
                  <c:v>41215</c:v>
                </c:pt>
                <c:pt idx="69">
                  <c:v>36397</c:v>
                </c:pt>
                <c:pt idx="70">
                  <c:v>32478</c:v>
                </c:pt>
                <c:pt idx="71">
                  <c:v>13116</c:v>
                </c:pt>
                <c:pt idx="72">
                  <c:v>36484</c:v>
                </c:pt>
                <c:pt idx="73">
                  <c:v>47812</c:v>
                </c:pt>
                <c:pt idx="74">
                  <c:v>29533</c:v>
                </c:pt>
                <c:pt idx="75">
                  <c:v>1810</c:v>
                </c:pt>
                <c:pt idx="76">
                  <c:v>36103</c:v>
                </c:pt>
                <c:pt idx="77">
                  <c:v>22724</c:v>
                </c:pt>
                <c:pt idx="78">
                  <c:v>20692</c:v>
                </c:pt>
                <c:pt idx="79">
                  <c:v>4683</c:v>
                </c:pt>
                <c:pt idx="80">
                  <c:v>4313</c:v>
                </c:pt>
                <c:pt idx="81">
                  <c:v>37132</c:v>
                </c:pt>
                <c:pt idx="82">
                  <c:v>14548</c:v>
                </c:pt>
                <c:pt idx="83">
                  <c:v>43122</c:v>
                </c:pt>
                <c:pt idx="84">
                  <c:v>25525</c:v>
                </c:pt>
                <c:pt idx="85">
                  <c:v>10825</c:v>
                </c:pt>
                <c:pt idx="86">
                  <c:v>3314</c:v>
                </c:pt>
                <c:pt idx="87">
                  <c:v>44097</c:v>
                </c:pt>
                <c:pt idx="88">
                  <c:v>49772</c:v>
                </c:pt>
                <c:pt idx="89">
                  <c:v>33799</c:v>
                </c:pt>
                <c:pt idx="90">
                  <c:v>6296</c:v>
                </c:pt>
                <c:pt idx="91">
                  <c:v>9480</c:v>
                </c:pt>
                <c:pt idx="92">
                  <c:v>49077</c:v>
                </c:pt>
                <c:pt idx="93">
                  <c:v>23140</c:v>
                </c:pt>
                <c:pt idx="94">
                  <c:v>2436</c:v>
                </c:pt>
                <c:pt idx="95">
                  <c:v>2293</c:v>
                </c:pt>
                <c:pt idx="96">
                  <c:v>18693</c:v>
                </c:pt>
                <c:pt idx="97">
                  <c:v>14216</c:v>
                </c:pt>
                <c:pt idx="98">
                  <c:v>33381</c:v>
                </c:pt>
                <c:pt idx="99">
                  <c:v>20042</c:v>
                </c:pt>
                <c:pt idx="100">
                  <c:v>26752</c:v>
                </c:pt>
                <c:pt idx="101">
                  <c:v>8912</c:v>
                </c:pt>
                <c:pt idx="102">
                  <c:v>22482</c:v>
                </c:pt>
                <c:pt idx="103">
                  <c:v>31280</c:v>
                </c:pt>
                <c:pt idx="104">
                  <c:v>5914</c:v>
                </c:pt>
                <c:pt idx="105">
                  <c:v>2932</c:v>
                </c:pt>
                <c:pt idx="106">
                  <c:v>32393</c:v>
                </c:pt>
                <c:pt idx="107">
                  <c:v>32763</c:v>
                </c:pt>
                <c:pt idx="108">
                  <c:v>39272</c:v>
                </c:pt>
                <c:pt idx="109">
                  <c:v>12384</c:v>
                </c:pt>
                <c:pt idx="110">
                  <c:v>33258</c:v>
                </c:pt>
                <c:pt idx="111">
                  <c:v>22206</c:v>
                </c:pt>
                <c:pt idx="112">
                  <c:v>9942</c:v>
                </c:pt>
                <c:pt idx="113">
                  <c:v>25797</c:v>
                </c:pt>
                <c:pt idx="114">
                  <c:v>15476</c:v>
                </c:pt>
                <c:pt idx="115">
                  <c:v>30270</c:v>
                </c:pt>
                <c:pt idx="116">
                  <c:v>24018</c:v>
                </c:pt>
                <c:pt idx="117">
                  <c:v>12148</c:v>
                </c:pt>
                <c:pt idx="118">
                  <c:v>4509</c:v>
                </c:pt>
                <c:pt idx="119">
                  <c:v>33174</c:v>
                </c:pt>
                <c:pt idx="120">
                  <c:v>21208</c:v>
                </c:pt>
                <c:pt idx="121">
                  <c:v>15827</c:v>
                </c:pt>
                <c:pt idx="122">
                  <c:v>36095</c:v>
                </c:pt>
                <c:pt idx="123">
                  <c:v>30428</c:v>
                </c:pt>
                <c:pt idx="124">
                  <c:v>5391</c:v>
                </c:pt>
                <c:pt idx="125">
                  <c:v>39530</c:v>
                </c:pt>
                <c:pt idx="126">
                  <c:v>3455</c:v>
                </c:pt>
                <c:pt idx="127">
                  <c:v>20861</c:v>
                </c:pt>
                <c:pt idx="128">
                  <c:v>13316</c:v>
                </c:pt>
                <c:pt idx="129">
                  <c:v>35359</c:v>
                </c:pt>
                <c:pt idx="130">
                  <c:v>9118</c:v>
                </c:pt>
                <c:pt idx="131">
                  <c:v>2798</c:v>
                </c:pt>
                <c:pt idx="132">
                  <c:v>12350</c:v>
                </c:pt>
                <c:pt idx="133">
                  <c:v>45380</c:v>
                </c:pt>
                <c:pt idx="134">
                  <c:v>19119</c:v>
                </c:pt>
                <c:pt idx="135">
                  <c:v>48270</c:v>
                </c:pt>
                <c:pt idx="136">
                  <c:v>42832</c:v>
                </c:pt>
                <c:pt idx="137">
                  <c:v>37636</c:v>
                </c:pt>
                <c:pt idx="138">
                  <c:v>8718</c:v>
                </c:pt>
                <c:pt idx="139">
                  <c:v>10002</c:v>
                </c:pt>
                <c:pt idx="140">
                  <c:v>14722</c:v>
                </c:pt>
                <c:pt idx="141">
                  <c:v>14068</c:v>
                </c:pt>
                <c:pt idx="142">
                  <c:v>21061</c:v>
                </c:pt>
                <c:pt idx="143">
                  <c:v>11805</c:v>
                </c:pt>
                <c:pt idx="144">
                  <c:v>42964</c:v>
                </c:pt>
                <c:pt idx="145">
                  <c:v>11035</c:v>
                </c:pt>
                <c:pt idx="146">
                  <c:v>8471</c:v>
                </c:pt>
                <c:pt idx="147">
                  <c:v>32500</c:v>
                </c:pt>
                <c:pt idx="148">
                  <c:v>16149</c:v>
                </c:pt>
                <c:pt idx="149">
                  <c:v>4007</c:v>
                </c:pt>
                <c:pt idx="150">
                  <c:v>30671</c:v>
                </c:pt>
                <c:pt idx="151">
                  <c:v>21205</c:v>
                </c:pt>
                <c:pt idx="152">
                  <c:v>24313</c:v>
                </c:pt>
                <c:pt idx="153">
                  <c:v>1783</c:v>
                </c:pt>
                <c:pt idx="154">
                  <c:v>30060</c:v>
                </c:pt>
                <c:pt idx="155">
                  <c:v>15071</c:v>
                </c:pt>
                <c:pt idx="156">
                  <c:v>28474</c:v>
                </c:pt>
                <c:pt idx="157">
                  <c:v>26452</c:v>
                </c:pt>
                <c:pt idx="158">
                  <c:v>16804</c:v>
                </c:pt>
                <c:pt idx="159">
                  <c:v>49372</c:v>
                </c:pt>
                <c:pt idx="160">
                  <c:v>6915</c:v>
                </c:pt>
                <c:pt idx="161">
                  <c:v>10283</c:v>
                </c:pt>
                <c:pt idx="162">
                  <c:v>32929</c:v>
                </c:pt>
                <c:pt idx="163">
                  <c:v>12646</c:v>
                </c:pt>
                <c:pt idx="164">
                  <c:v>10217</c:v>
                </c:pt>
                <c:pt idx="165">
                  <c:v>5442</c:v>
                </c:pt>
                <c:pt idx="166">
                  <c:v>38883</c:v>
                </c:pt>
                <c:pt idx="167">
                  <c:v>36851</c:v>
                </c:pt>
                <c:pt idx="168">
                  <c:v>27822</c:v>
                </c:pt>
                <c:pt idx="169">
                  <c:v>6742</c:v>
                </c:pt>
                <c:pt idx="170">
                  <c:v>44321</c:v>
                </c:pt>
                <c:pt idx="171">
                  <c:v>46643</c:v>
                </c:pt>
                <c:pt idx="172">
                  <c:v>16443</c:v>
                </c:pt>
                <c:pt idx="173">
                  <c:v>9269</c:v>
                </c:pt>
                <c:pt idx="174">
                  <c:v>22373</c:v>
                </c:pt>
                <c:pt idx="175">
                  <c:v>37876</c:v>
                </c:pt>
                <c:pt idx="176">
                  <c:v>40888</c:v>
                </c:pt>
                <c:pt idx="177">
                  <c:v>46625</c:v>
                </c:pt>
                <c:pt idx="178">
                  <c:v>49558</c:v>
                </c:pt>
                <c:pt idx="179">
                  <c:v>14154</c:v>
                </c:pt>
                <c:pt idx="180">
                  <c:v>39931</c:v>
                </c:pt>
                <c:pt idx="181">
                  <c:v>15045</c:v>
                </c:pt>
                <c:pt idx="182">
                  <c:v>40868</c:v>
                </c:pt>
                <c:pt idx="183">
                  <c:v>7705</c:v>
                </c:pt>
                <c:pt idx="184">
                  <c:v>43999</c:v>
                </c:pt>
                <c:pt idx="185">
                  <c:v>18001</c:v>
                </c:pt>
                <c:pt idx="186">
                  <c:v>24494</c:v>
                </c:pt>
                <c:pt idx="187">
                  <c:v>22996</c:v>
                </c:pt>
                <c:pt idx="188">
                  <c:v>39031</c:v>
                </c:pt>
                <c:pt idx="189">
                  <c:v>30987</c:v>
                </c:pt>
                <c:pt idx="190">
                  <c:v>11383</c:v>
                </c:pt>
                <c:pt idx="191">
                  <c:v>35801</c:v>
                </c:pt>
                <c:pt idx="192">
                  <c:v>20059</c:v>
                </c:pt>
                <c:pt idx="193">
                  <c:v>15969</c:v>
                </c:pt>
                <c:pt idx="194">
                  <c:v>39923</c:v>
                </c:pt>
                <c:pt idx="195">
                  <c:v>20733</c:v>
                </c:pt>
                <c:pt idx="196">
                  <c:v>14090</c:v>
                </c:pt>
                <c:pt idx="197">
                  <c:v>6832</c:v>
                </c:pt>
                <c:pt idx="198">
                  <c:v>7541</c:v>
                </c:pt>
                <c:pt idx="199">
                  <c:v>12174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[1]Engagement_vs_AdSpend!$B$3:$B$203</c15:f>
                <c15:dlblRangeCache>
                  <c:ptCount val="201"/>
                  <c:pt idx="0">
                    <c:v>Platform</c:v>
                  </c:pt>
                  <c:pt idx="1">
                    <c:v>Facebook</c:v>
                  </c:pt>
                  <c:pt idx="2">
                    <c:v>Facebook</c:v>
                  </c:pt>
                  <c:pt idx="3">
                    <c:v>Facebook</c:v>
                  </c:pt>
                  <c:pt idx="4">
                    <c:v>Facebook</c:v>
                  </c:pt>
                  <c:pt idx="5">
                    <c:v>Facebook</c:v>
                  </c:pt>
                  <c:pt idx="6">
                    <c:v>Facebook</c:v>
                  </c:pt>
                  <c:pt idx="7">
                    <c:v>Facebook</c:v>
                  </c:pt>
                  <c:pt idx="8">
                    <c:v>Facebook</c:v>
                  </c:pt>
                  <c:pt idx="9">
                    <c:v>Facebook</c:v>
                  </c:pt>
                  <c:pt idx="10">
                    <c:v>Facebook</c:v>
                  </c:pt>
                  <c:pt idx="11">
                    <c:v>Facebook</c:v>
                  </c:pt>
                  <c:pt idx="12">
                    <c:v>Facebook</c:v>
                  </c:pt>
                  <c:pt idx="13">
                    <c:v>Facebook</c:v>
                  </c:pt>
                  <c:pt idx="14">
                    <c:v>Facebook</c:v>
                  </c:pt>
                  <c:pt idx="15">
                    <c:v>Facebook</c:v>
                  </c:pt>
                  <c:pt idx="16">
                    <c:v>Facebook</c:v>
                  </c:pt>
                  <c:pt idx="17">
                    <c:v>Facebook</c:v>
                  </c:pt>
                  <c:pt idx="18">
                    <c:v>Facebook</c:v>
                  </c:pt>
                  <c:pt idx="19">
                    <c:v>Facebook</c:v>
                  </c:pt>
                  <c:pt idx="20">
                    <c:v>Facebook</c:v>
                  </c:pt>
                  <c:pt idx="21">
                    <c:v>Facebook</c:v>
                  </c:pt>
                  <c:pt idx="22">
                    <c:v>Facebook</c:v>
                  </c:pt>
                  <c:pt idx="23">
                    <c:v>Facebook</c:v>
                  </c:pt>
                  <c:pt idx="24">
                    <c:v>Facebook</c:v>
                  </c:pt>
                  <c:pt idx="25">
                    <c:v>Facebook</c:v>
                  </c:pt>
                  <c:pt idx="26">
                    <c:v>Facebook</c:v>
                  </c:pt>
                  <c:pt idx="27">
                    <c:v>Facebook</c:v>
                  </c:pt>
                  <c:pt idx="28">
                    <c:v>Facebook</c:v>
                  </c:pt>
                  <c:pt idx="29">
                    <c:v>Facebook</c:v>
                  </c:pt>
                  <c:pt idx="30">
                    <c:v>Facebook</c:v>
                  </c:pt>
                  <c:pt idx="31">
                    <c:v>Facebook</c:v>
                  </c:pt>
                  <c:pt idx="32">
                    <c:v>Facebook</c:v>
                  </c:pt>
                  <c:pt idx="33">
                    <c:v>Facebook</c:v>
                  </c:pt>
                  <c:pt idx="34">
                    <c:v>Facebook</c:v>
                  </c:pt>
                  <c:pt idx="35">
                    <c:v>Facebook</c:v>
                  </c:pt>
                  <c:pt idx="36">
                    <c:v>Facebook</c:v>
                  </c:pt>
                  <c:pt idx="37">
                    <c:v>Facebook</c:v>
                  </c:pt>
                  <c:pt idx="38">
                    <c:v>Facebook</c:v>
                  </c:pt>
                  <c:pt idx="39">
                    <c:v>Facebook</c:v>
                  </c:pt>
                  <c:pt idx="40">
                    <c:v>Facebook</c:v>
                  </c:pt>
                  <c:pt idx="41">
                    <c:v>Facebook</c:v>
                  </c:pt>
                  <c:pt idx="42">
                    <c:v>Facebook</c:v>
                  </c:pt>
                  <c:pt idx="43">
                    <c:v>Facebook</c:v>
                  </c:pt>
                  <c:pt idx="44">
                    <c:v>Facebook</c:v>
                  </c:pt>
                  <c:pt idx="45">
                    <c:v>Facebook</c:v>
                  </c:pt>
                  <c:pt idx="46">
                    <c:v>Facebook</c:v>
                  </c:pt>
                  <c:pt idx="47">
                    <c:v>Facebook</c:v>
                  </c:pt>
                  <c:pt idx="48">
                    <c:v>Facebook</c:v>
                  </c:pt>
                  <c:pt idx="49">
                    <c:v>Facebook</c:v>
                  </c:pt>
                  <c:pt idx="50">
                    <c:v>Facebook</c:v>
                  </c:pt>
                  <c:pt idx="51">
                    <c:v>Instagram</c:v>
                  </c:pt>
                  <c:pt idx="52">
                    <c:v>Instagram</c:v>
                  </c:pt>
                  <c:pt idx="53">
                    <c:v>Instagram</c:v>
                  </c:pt>
                  <c:pt idx="54">
                    <c:v>Instagram</c:v>
                  </c:pt>
                  <c:pt idx="55">
                    <c:v>Instagram</c:v>
                  </c:pt>
                  <c:pt idx="56">
                    <c:v>Instagram</c:v>
                  </c:pt>
                  <c:pt idx="57">
                    <c:v>Instagram</c:v>
                  </c:pt>
                  <c:pt idx="58">
                    <c:v>Instagram</c:v>
                  </c:pt>
                  <c:pt idx="59">
                    <c:v>Instagram</c:v>
                  </c:pt>
                  <c:pt idx="60">
                    <c:v>Instagram</c:v>
                  </c:pt>
                  <c:pt idx="61">
                    <c:v>Instagram</c:v>
                  </c:pt>
                  <c:pt idx="62">
                    <c:v>Instagram</c:v>
                  </c:pt>
                  <c:pt idx="63">
                    <c:v>Instagram</c:v>
                  </c:pt>
                  <c:pt idx="64">
                    <c:v>Instagram</c:v>
                  </c:pt>
                  <c:pt idx="65">
                    <c:v>Instagram</c:v>
                  </c:pt>
                  <c:pt idx="66">
                    <c:v>Instagram</c:v>
                  </c:pt>
                  <c:pt idx="67">
                    <c:v>Instagram</c:v>
                  </c:pt>
                  <c:pt idx="68">
                    <c:v>Instagram</c:v>
                  </c:pt>
                  <c:pt idx="69">
                    <c:v>Instagram</c:v>
                  </c:pt>
                  <c:pt idx="70">
                    <c:v>Instagram</c:v>
                  </c:pt>
                  <c:pt idx="71">
                    <c:v>Instagram</c:v>
                  </c:pt>
                  <c:pt idx="72">
                    <c:v>Instagram</c:v>
                  </c:pt>
                  <c:pt idx="73">
                    <c:v>Instagram</c:v>
                  </c:pt>
                  <c:pt idx="74">
                    <c:v>Instagram</c:v>
                  </c:pt>
                  <c:pt idx="75">
                    <c:v>Instagram</c:v>
                  </c:pt>
                  <c:pt idx="76">
                    <c:v>Instagram</c:v>
                  </c:pt>
                  <c:pt idx="77">
                    <c:v>Instagram</c:v>
                  </c:pt>
                  <c:pt idx="78">
                    <c:v>Instagram</c:v>
                  </c:pt>
                  <c:pt idx="79">
                    <c:v>Instagram</c:v>
                  </c:pt>
                  <c:pt idx="80">
                    <c:v>Instagram</c:v>
                  </c:pt>
                  <c:pt idx="81">
                    <c:v>Instagram</c:v>
                  </c:pt>
                  <c:pt idx="82">
                    <c:v>Instagram</c:v>
                  </c:pt>
                  <c:pt idx="83">
                    <c:v>Instagram</c:v>
                  </c:pt>
                  <c:pt idx="84">
                    <c:v>Instagram</c:v>
                  </c:pt>
                  <c:pt idx="85">
                    <c:v>Instagram</c:v>
                  </c:pt>
                  <c:pt idx="86">
                    <c:v>Instagram</c:v>
                  </c:pt>
                  <c:pt idx="87">
                    <c:v>Instagram</c:v>
                  </c:pt>
                  <c:pt idx="88">
                    <c:v>Instagram</c:v>
                  </c:pt>
                  <c:pt idx="89">
                    <c:v>Instagram</c:v>
                  </c:pt>
                  <c:pt idx="90">
                    <c:v>Instagram</c:v>
                  </c:pt>
                  <c:pt idx="91">
                    <c:v>Instagram</c:v>
                  </c:pt>
                  <c:pt idx="92">
                    <c:v>Instagram</c:v>
                  </c:pt>
                  <c:pt idx="93">
                    <c:v>Instagram</c:v>
                  </c:pt>
                  <c:pt idx="94">
                    <c:v>Instagram</c:v>
                  </c:pt>
                  <c:pt idx="95">
                    <c:v>Instagram</c:v>
                  </c:pt>
                  <c:pt idx="96">
                    <c:v>Instagram</c:v>
                  </c:pt>
                  <c:pt idx="97">
                    <c:v>Instagram</c:v>
                  </c:pt>
                  <c:pt idx="98">
                    <c:v>Instagram</c:v>
                  </c:pt>
                  <c:pt idx="99">
                    <c:v>Instagram</c:v>
                  </c:pt>
                  <c:pt idx="100">
                    <c:v>Instagram</c:v>
                  </c:pt>
                  <c:pt idx="101">
                    <c:v>Twitter</c:v>
                  </c:pt>
                  <c:pt idx="102">
                    <c:v>Twitter</c:v>
                  </c:pt>
                  <c:pt idx="103">
                    <c:v>Twitter</c:v>
                  </c:pt>
                  <c:pt idx="104">
                    <c:v>Twitter</c:v>
                  </c:pt>
                  <c:pt idx="105">
                    <c:v>Twitter</c:v>
                  </c:pt>
                  <c:pt idx="106">
                    <c:v>Twitter</c:v>
                  </c:pt>
                  <c:pt idx="107">
                    <c:v>Twitter</c:v>
                  </c:pt>
                  <c:pt idx="108">
                    <c:v>Twitter</c:v>
                  </c:pt>
                  <c:pt idx="109">
                    <c:v>Twitter</c:v>
                  </c:pt>
                  <c:pt idx="110">
                    <c:v>Twitter</c:v>
                  </c:pt>
                  <c:pt idx="111">
                    <c:v>Twitter</c:v>
                  </c:pt>
                  <c:pt idx="112">
                    <c:v>Twitter</c:v>
                  </c:pt>
                  <c:pt idx="113">
                    <c:v>Twitter</c:v>
                  </c:pt>
                  <c:pt idx="114">
                    <c:v>Twitter</c:v>
                  </c:pt>
                  <c:pt idx="115">
                    <c:v>Twitter</c:v>
                  </c:pt>
                  <c:pt idx="116">
                    <c:v>Twitter</c:v>
                  </c:pt>
                  <c:pt idx="117">
                    <c:v>Twitter</c:v>
                  </c:pt>
                  <c:pt idx="118">
                    <c:v>Twitter</c:v>
                  </c:pt>
                  <c:pt idx="119">
                    <c:v>Twitter</c:v>
                  </c:pt>
                  <c:pt idx="120">
                    <c:v>Twitter</c:v>
                  </c:pt>
                  <c:pt idx="121">
                    <c:v>Twitter</c:v>
                  </c:pt>
                  <c:pt idx="122">
                    <c:v>Twitter</c:v>
                  </c:pt>
                  <c:pt idx="123">
                    <c:v>Twitter</c:v>
                  </c:pt>
                  <c:pt idx="124">
                    <c:v>Twitter</c:v>
                  </c:pt>
                  <c:pt idx="125">
                    <c:v>Twitter</c:v>
                  </c:pt>
                  <c:pt idx="126">
                    <c:v>Twitter</c:v>
                  </c:pt>
                  <c:pt idx="127">
                    <c:v>Twitter</c:v>
                  </c:pt>
                  <c:pt idx="128">
                    <c:v>Twitter</c:v>
                  </c:pt>
                  <c:pt idx="129">
                    <c:v>Twitter</c:v>
                  </c:pt>
                  <c:pt idx="130">
                    <c:v>Twitter</c:v>
                  </c:pt>
                  <c:pt idx="131">
                    <c:v>Twitter</c:v>
                  </c:pt>
                  <c:pt idx="132">
                    <c:v>Twitter</c:v>
                  </c:pt>
                  <c:pt idx="133">
                    <c:v>Twitter</c:v>
                  </c:pt>
                  <c:pt idx="134">
                    <c:v>Twitter</c:v>
                  </c:pt>
                  <c:pt idx="135">
                    <c:v>Twitter</c:v>
                  </c:pt>
                  <c:pt idx="136">
                    <c:v>Twitter</c:v>
                  </c:pt>
                  <c:pt idx="137">
                    <c:v>Twitter</c:v>
                  </c:pt>
                  <c:pt idx="138">
                    <c:v>Twitter</c:v>
                  </c:pt>
                  <c:pt idx="139">
                    <c:v>Twitter</c:v>
                  </c:pt>
                  <c:pt idx="140">
                    <c:v>Twitter</c:v>
                  </c:pt>
                  <c:pt idx="141">
                    <c:v>Twitter</c:v>
                  </c:pt>
                  <c:pt idx="142">
                    <c:v>Twitter</c:v>
                  </c:pt>
                  <c:pt idx="143">
                    <c:v>Twitter</c:v>
                  </c:pt>
                  <c:pt idx="144">
                    <c:v>Twitter</c:v>
                  </c:pt>
                  <c:pt idx="145">
                    <c:v>Twitter</c:v>
                  </c:pt>
                  <c:pt idx="146">
                    <c:v>Twitter</c:v>
                  </c:pt>
                  <c:pt idx="147">
                    <c:v>Twitter</c:v>
                  </c:pt>
                  <c:pt idx="148">
                    <c:v>Twitter</c:v>
                  </c:pt>
                  <c:pt idx="149">
                    <c:v>Twitter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YouTube</c:v>
                  </c:pt>
                  <c:pt idx="153">
                    <c:v>YouTube</c:v>
                  </c:pt>
                  <c:pt idx="154">
                    <c:v>YouTube</c:v>
                  </c:pt>
                  <c:pt idx="155">
                    <c:v>YouTube</c:v>
                  </c:pt>
                  <c:pt idx="156">
                    <c:v>YouTube</c:v>
                  </c:pt>
                  <c:pt idx="157">
                    <c:v>YouTube</c:v>
                  </c:pt>
                  <c:pt idx="158">
                    <c:v>YouTube</c:v>
                  </c:pt>
                  <c:pt idx="159">
                    <c:v>YouTube</c:v>
                  </c:pt>
                  <c:pt idx="160">
                    <c:v>YouTube</c:v>
                  </c:pt>
                  <c:pt idx="161">
                    <c:v>YouTube</c:v>
                  </c:pt>
                  <c:pt idx="162">
                    <c:v>YouTube</c:v>
                  </c:pt>
                  <c:pt idx="163">
                    <c:v>YouTube</c:v>
                  </c:pt>
                  <c:pt idx="164">
                    <c:v>YouTube</c:v>
                  </c:pt>
                  <c:pt idx="165">
                    <c:v>YouTube</c:v>
                  </c:pt>
                  <c:pt idx="166">
                    <c:v>YouTube</c:v>
                  </c:pt>
                  <c:pt idx="167">
                    <c:v>YouTube</c:v>
                  </c:pt>
                  <c:pt idx="168">
                    <c:v>YouTube</c:v>
                  </c:pt>
                  <c:pt idx="169">
                    <c:v>YouTube</c:v>
                  </c:pt>
                  <c:pt idx="170">
                    <c:v>YouTube</c:v>
                  </c:pt>
                  <c:pt idx="171">
                    <c:v>YouTube</c:v>
                  </c:pt>
                  <c:pt idx="172">
                    <c:v>YouTube</c:v>
                  </c:pt>
                  <c:pt idx="173">
                    <c:v>YouTube</c:v>
                  </c:pt>
                  <c:pt idx="174">
                    <c:v>YouTube</c:v>
                  </c:pt>
                  <c:pt idx="175">
                    <c:v>YouTube</c:v>
                  </c:pt>
                  <c:pt idx="176">
                    <c:v>YouTube</c:v>
                  </c:pt>
                  <c:pt idx="177">
                    <c:v>YouTube</c:v>
                  </c:pt>
                  <c:pt idx="178">
                    <c:v>YouTube</c:v>
                  </c:pt>
                  <c:pt idx="179">
                    <c:v>YouTube</c:v>
                  </c:pt>
                  <c:pt idx="180">
                    <c:v>YouTube</c:v>
                  </c:pt>
                  <c:pt idx="181">
                    <c:v>YouTube</c:v>
                  </c:pt>
                  <c:pt idx="182">
                    <c:v>YouTube</c:v>
                  </c:pt>
                  <c:pt idx="183">
                    <c:v>YouTube</c:v>
                  </c:pt>
                  <c:pt idx="184">
                    <c:v>YouTube</c:v>
                  </c:pt>
                  <c:pt idx="185">
                    <c:v>YouTube</c:v>
                  </c:pt>
                  <c:pt idx="186">
                    <c:v>YouTube</c:v>
                  </c:pt>
                  <c:pt idx="187">
                    <c:v>YouTube</c:v>
                  </c:pt>
                  <c:pt idx="188">
                    <c:v>YouTube</c:v>
                  </c:pt>
                  <c:pt idx="189">
                    <c:v>YouTube</c:v>
                  </c:pt>
                  <c:pt idx="190">
                    <c:v>YouTube</c:v>
                  </c:pt>
                  <c:pt idx="191">
                    <c:v>YouTube</c:v>
                  </c:pt>
                  <c:pt idx="192">
                    <c:v>YouTube</c:v>
                  </c:pt>
                  <c:pt idx="193">
                    <c:v>YouTube</c:v>
                  </c:pt>
                  <c:pt idx="194">
                    <c:v>YouTube</c:v>
                  </c:pt>
                  <c:pt idx="195">
                    <c:v>YouTube</c:v>
                  </c:pt>
                  <c:pt idx="196">
                    <c:v>YouTube</c:v>
                  </c:pt>
                  <c:pt idx="197">
                    <c:v>YouTube</c:v>
                  </c:pt>
                  <c:pt idx="198">
                    <c:v>YouTube</c:v>
                  </c:pt>
                  <c:pt idx="199">
                    <c:v>YouTube</c:v>
                  </c:pt>
                  <c:pt idx="200">
                    <c:v>YouTube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9-8A7F-4AB1-BF3C-4921E1EC52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140619007"/>
        <c:axId val="21406194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[1]Engagement_vs_AdSpend!$C$4:$C$203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1312</c:v>
                      </c:pt>
                      <c:pt idx="1">
                        <c:v>1697</c:v>
                      </c:pt>
                      <c:pt idx="2">
                        <c:v>1753</c:v>
                      </c:pt>
                      <c:pt idx="3">
                        <c:v>1779</c:v>
                      </c:pt>
                      <c:pt idx="4">
                        <c:v>505</c:v>
                      </c:pt>
                      <c:pt idx="5">
                        <c:v>350</c:v>
                      </c:pt>
                      <c:pt idx="6">
                        <c:v>170</c:v>
                      </c:pt>
                      <c:pt idx="7">
                        <c:v>1391</c:v>
                      </c:pt>
                      <c:pt idx="8">
                        <c:v>160</c:v>
                      </c:pt>
                      <c:pt idx="9">
                        <c:v>214</c:v>
                      </c:pt>
                      <c:pt idx="10">
                        <c:v>1534</c:v>
                      </c:pt>
                      <c:pt idx="11">
                        <c:v>1078</c:v>
                      </c:pt>
                      <c:pt idx="12">
                        <c:v>248</c:v>
                      </c:pt>
                      <c:pt idx="13">
                        <c:v>1520</c:v>
                      </c:pt>
                      <c:pt idx="14">
                        <c:v>1842</c:v>
                      </c:pt>
                      <c:pt idx="15">
                        <c:v>443</c:v>
                      </c:pt>
                      <c:pt idx="16">
                        <c:v>198</c:v>
                      </c:pt>
                      <c:pt idx="17">
                        <c:v>250</c:v>
                      </c:pt>
                      <c:pt idx="18">
                        <c:v>1929</c:v>
                      </c:pt>
                      <c:pt idx="19">
                        <c:v>643</c:v>
                      </c:pt>
                      <c:pt idx="20">
                        <c:v>508</c:v>
                      </c:pt>
                      <c:pt idx="21">
                        <c:v>859</c:v>
                      </c:pt>
                      <c:pt idx="22">
                        <c:v>947</c:v>
                      </c:pt>
                      <c:pt idx="23">
                        <c:v>171</c:v>
                      </c:pt>
                      <c:pt idx="24">
                        <c:v>513</c:v>
                      </c:pt>
                      <c:pt idx="25">
                        <c:v>1710</c:v>
                      </c:pt>
                      <c:pt idx="26">
                        <c:v>1902</c:v>
                      </c:pt>
                      <c:pt idx="27">
                        <c:v>1514</c:v>
                      </c:pt>
                      <c:pt idx="28">
                        <c:v>1623</c:v>
                      </c:pt>
                      <c:pt idx="29">
                        <c:v>1155</c:v>
                      </c:pt>
                      <c:pt idx="30">
                        <c:v>1980</c:v>
                      </c:pt>
                      <c:pt idx="31">
                        <c:v>816</c:v>
                      </c:pt>
                      <c:pt idx="32">
                        <c:v>651</c:v>
                      </c:pt>
                      <c:pt idx="33">
                        <c:v>663</c:v>
                      </c:pt>
                      <c:pt idx="34">
                        <c:v>1249</c:v>
                      </c:pt>
                      <c:pt idx="35">
                        <c:v>1159</c:v>
                      </c:pt>
                      <c:pt idx="36">
                        <c:v>1294</c:v>
                      </c:pt>
                      <c:pt idx="37">
                        <c:v>1895</c:v>
                      </c:pt>
                      <c:pt idx="38">
                        <c:v>1884</c:v>
                      </c:pt>
                      <c:pt idx="39">
                        <c:v>345</c:v>
                      </c:pt>
                      <c:pt idx="40">
                        <c:v>1098</c:v>
                      </c:pt>
                      <c:pt idx="41">
                        <c:v>1358</c:v>
                      </c:pt>
                      <c:pt idx="42">
                        <c:v>609</c:v>
                      </c:pt>
                      <c:pt idx="43">
                        <c:v>988</c:v>
                      </c:pt>
                      <c:pt idx="44">
                        <c:v>1307</c:v>
                      </c:pt>
                      <c:pt idx="45">
                        <c:v>198</c:v>
                      </c:pt>
                      <c:pt idx="46">
                        <c:v>1375</c:v>
                      </c:pt>
                      <c:pt idx="47">
                        <c:v>833</c:v>
                      </c:pt>
                      <c:pt idx="48">
                        <c:v>405</c:v>
                      </c:pt>
                      <c:pt idx="49">
                        <c:v>837</c:v>
                      </c:pt>
                      <c:pt idx="50">
                        <c:v>1135</c:v>
                      </c:pt>
                      <c:pt idx="51">
                        <c:v>656</c:v>
                      </c:pt>
                      <c:pt idx="52">
                        <c:v>1048</c:v>
                      </c:pt>
                      <c:pt idx="53">
                        <c:v>911</c:v>
                      </c:pt>
                      <c:pt idx="54">
                        <c:v>226</c:v>
                      </c:pt>
                      <c:pt idx="55">
                        <c:v>1757</c:v>
                      </c:pt>
                      <c:pt idx="56">
                        <c:v>1960</c:v>
                      </c:pt>
                      <c:pt idx="57">
                        <c:v>508</c:v>
                      </c:pt>
                      <c:pt idx="58">
                        <c:v>653</c:v>
                      </c:pt>
                      <c:pt idx="59">
                        <c:v>645</c:v>
                      </c:pt>
                      <c:pt idx="60">
                        <c:v>1528</c:v>
                      </c:pt>
                      <c:pt idx="61">
                        <c:v>215</c:v>
                      </c:pt>
                      <c:pt idx="62">
                        <c:v>1685</c:v>
                      </c:pt>
                      <c:pt idx="63">
                        <c:v>1429</c:v>
                      </c:pt>
                      <c:pt idx="64">
                        <c:v>1592</c:v>
                      </c:pt>
                      <c:pt idx="65">
                        <c:v>778</c:v>
                      </c:pt>
                      <c:pt idx="66">
                        <c:v>817</c:v>
                      </c:pt>
                      <c:pt idx="67">
                        <c:v>1433</c:v>
                      </c:pt>
                      <c:pt idx="68">
                        <c:v>1939</c:v>
                      </c:pt>
                      <c:pt idx="69">
                        <c:v>1527</c:v>
                      </c:pt>
                      <c:pt idx="70">
                        <c:v>703</c:v>
                      </c:pt>
                      <c:pt idx="71">
                        <c:v>642</c:v>
                      </c:pt>
                      <c:pt idx="72">
                        <c:v>1466</c:v>
                      </c:pt>
                      <c:pt idx="73">
                        <c:v>1075</c:v>
                      </c:pt>
                      <c:pt idx="74">
                        <c:v>187</c:v>
                      </c:pt>
                      <c:pt idx="75">
                        <c:v>1854</c:v>
                      </c:pt>
                      <c:pt idx="76">
                        <c:v>1696</c:v>
                      </c:pt>
                      <c:pt idx="77">
                        <c:v>1494</c:v>
                      </c:pt>
                      <c:pt idx="78">
                        <c:v>1502</c:v>
                      </c:pt>
                      <c:pt idx="79">
                        <c:v>1092</c:v>
                      </c:pt>
                      <c:pt idx="80">
                        <c:v>1814</c:v>
                      </c:pt>
                      <c:pt idx="81">
                        <c:v>1013</c:v>
                      </c:pt>
                      <c:pt idx="82">
                        <c:v>1855</c:v>
                      </c:pt>
                      <c:pt idx="83">
                        <c:v>1748</c:v>
                      </c:pt>
                      <c:pt idx="84">
                        <c:v>115</c:v>
                      </c:pt>
                      <c:pt idx="85">
                        <c:v>1556</c:v>
                      </c:pt>
                      <c:pt idx="86">
                        <c:v>1957</c:v>
                      </c:pt>
                      <c:pt idx="87">
                        <c:v>1138</c:v>
                      </c:pt>
                      <c:pt idx="88">
                        <c:v>1440</c:v>
                      </c:pt>
                      <c:pt idx="89">
                        <c:v>1371</c:v>
                      </c:pt>
                      <c:pt idx="90">
                        <c:v>393</c:v>
                      </c:pt>
                      <c:pt idx="91">
                        <c:v>1102</c:v>
                      </c:pt>
                      <c:pt idx="92">
                        <c:v>490</c:v>
                      </c:pt>
                      <c:pt idx="93">
                        <c:v>1033</c:v>
                      </c:pt>
                      <c:pt idx="94">
                        <c:v>559</c:v>
                      </c:pt>
                      <c:pt idx="95">
                        <c:v>198</c:v>
                      </c:pt>
                      <c:pt idx="96">
                        <c:v>961</c:v>
                      </c:pt>
                      <c:pt idx="97">
                        <c:v>1693</c:v>
                      </c:pt>
                      <c:pt idx="98">
                        <c:v>1957</c:v>
                      </c:pt>
                      <c:pt idx="99">
                        <c:v>1765</c:v>
                      </c:pt>
                      <c:pt idx="100">
                        <c:v>584</c:v>
                      </c:pt>
                      <c:pt idx="101">
                        <c:v>436</c:v>
                      </c:pt>
                      <c:pt idx="102">
                        <c:v>1335</c:v>
                      </c:pt>
                      <c:pt idx="103">
                        <c:v>1238</c:v>
                      </c:pt>
                      <c:pt idx="104">
                        <c:v>1420</c:v>
                      </c:pt>
                      <c:pt idx="105">
                        <c:v>987</c:v>
                      </c:pt>
                      <c:pt idx="106">
                        <c:v>704</c:v>
                      </c:pt>
                      <c:pt idx="107">
                        <c:v>1701</c:v>
                      </c:pt>
                      <c:pt idx="108">
                        <c:v>1756</c:v>
                      </c:pt>
                      <c:pt idx="109">
                        <c:v>826</c:v>
                      </c:pt>
                      <c:pt idx="110">
                        <c:v>485</c:v>
                      </c:pt>
                      <c:pt idx="111">
                        <c:v>1751</c:v>
                      </c:pt>
                      <c:pt idx="112">
                        <c:v>1300</c:v>
                      </c:pt>
                      <c:pt idx="113">
                        <c:v>557</c:v>
                      </c:pt>
                      <c:pt idx="114">
                        <c:v>751</c:v>
                      </c:pt>
                      <c:pt idx="115">
                        <c:v>1472</c:v>
                      </c:pt>
                      <c:pt idx="116">
                        <c:v>1911</c:v>
                      </c:pt>
                      <c:pt idx="117">
                        <c:v>752</c:v>
                      </c:pt>
                      <c:pt idx="118">
                        <c:v>437</c:v>
                      </c:pt>
                      <c:pt idx="119">
                        <c:v>201</c:v>
                      </c:pt>
                      <c:pt idx="120">
                        <c:v>697</c:v>
                      </c:pt>
                      <c:pt idx="121">
                        <c:v>191</c:v>
                      </c:pt>
                      <c:pt idx="122">
                        <c:v>1821</c:v>
                      </c:pt>
                      <c:pt idx="123">
                        <c:v>1487</c:v>
                      </c:pt>
                      <c:pt idx="124">
                        <c:v>628</c:v>
                      </c:pt>
                      <c:pt idx="125">
                        <c:v>330</c:v>
                      </c:pt>
                      <c:pt idx="126">
                        <c:v>1441</c:v>
                      </c:pt>
                      <c:pt idx="127">
                        <c:v>1937</c:v>
                      </c:pt>
                      <c:pt idx="128">
                        <c:v>1592</c:v>
                      </c:pt>
                      <c:pt idx="129">
                        <c:v>1137</c:v>
                      </c:pt>
                      <c:pt idx="130">
                        <c:v>1786</c:v>
                      </c:pt>
                      <c:pt idx="131">
                        <c:v>1633</c:v>
                      </c:pt>
                      <c:pt idx="132">
                        <c:v>118</c:v>
                      </c:pt>
                      <c:pt idx="133">
                        <c:v>1040</c:v>
                      </c:pt>
                      <c:pt idx="134">
                        <c:v>1501</c:v>
                      </c:pt>
                      <c:pt idx="135">
                        <c:v>927</c:v>
                      </c:pt>
                      <c:pt idx="136">
                        <c:v>1587</c:v>
                      </c:pt>
                      <c:pt idx="137">
                        <c:v>362</c:v>
                      </c:pt>
                      <c:pt idx="138">
                        <c:v>861</c:v>
                      </c:pt>
                      <c:pt idx="139">
                        <c:v>946</c:v>
                      </c:pt>
                      <c:pt idx="140">
                        <c:v>1399</c:v>
                      </c:pt>
                      <c:pt idx="141">
                        <c:v>1077</c:v>
                      </c:pt>
                      <c:pt idx="142">
                        <c:v>364</c:v>
                      </c:pt>
                      <c:pt idx="143">
                        <c:v>1946</c:v>
                      </c:pt>
                      <c:pt idx="144">
                        <c:v>1432</c:v>
                      </c:pt>
                      <c:pt idx="145">
                        <c:v>353</c:v>
                      </c:pt>
                      <c:pt idx="146">
                        <c:v>1147</c:v>
                      </c:pt>
                      <c:pt idx="147">
                        <c:v>1222</c:v>
                      </c:pt>
                      <c:pt idx="148">
                        <c:v>1581</c:v>
                      </c:pt>
                      <c:pt idx="149">
                        <c:v>337</c:v>
                      </c:pt>
                      <c:pt idx="150">
                        <c:v>1535</c:v>
                      </c:pt>
                      <c:pt idx="151">
                        <c:v>1197</c:v>
                      </c:pt>
                      <c:pt idx="152">
                        <c:v>403</c:v>
                      </c:pt>
                      <c:pt idx="153">
                        <c:v>308</c:v>
                      </c:pt>
                      <c:pt idx="154">
                        <c:v>144</c:v>
                      </c:pt>
                      <c:pt idx="155">
                        <c:v>883</c:v>
                      </c:pt>
                      <c:pt idx="156">
                        <c:v>224</c:v>
                      </c:pt>
                      <c:pt idx="157">
                        <c:v>804</c:v>
                      </c:pt>
                      <c:pt idx="158">
                        <c:v>576</c:v>
                      </c:pt>
                      <c:pt idx="159">
                        <c:v>460</c:v>
                      </c:pt>
                      <c:pt idx="160">
                        <c:v>1210</c:v>
                      </c:pt>
                      <c:pt idx="161">
                        <c:v>221</c:v>
                      </c:pt>
                      <c:pt idx="162">
                        <c:v>422</c:v>
                      </c:pt>
                      <c:pt idx="163">
                        <c:v>728</c:v>
                      </c:pt>
                      <c:pt idx="164">
                        <c:v>1409</c:v>
                      </c:pt>
                      <c:pt idx="165">
                        <c:v>123</c:v>
                      </c:pt>
                      <c:pt idx="166">
                        <c:v>1218</c:v>
                      </c:pt>
                      <c:pt idx="167">
                        <c:v>1918</c:v>
                      </c:pt>
                      <c:pt idx="168">
                        <c:v>307</c:v>
                      </c:pt>
                      <c:pt idx="169">
                        <c:v>414</c:v>
                      </c:pt>
                      <c:pt idx="170">
                        <c:v>1707</c:v>
                      </c:pt>
                      <c:pt idx="171">
                        <c:v>1814</c:v>
                      </c:pt>
                      <c:pt idx="172">
                        <c:v>1507</c:v>
                      </c:pt>
                      <c:pt idx="173">
                        <c:v>454</c:v>
                      </c:pt>
                      <c:pt idx="174">
                        <c:v>278</c:v>
                      </c:pt>
                      <c:pt idx="175">
                        <c:v>1293</c:v>
                      </c:pt>
                      <c:pt idx="176">
                        <c:v>452</c:v>
                      </c:pt>
                      <c:pt idx="177">
                        <c:v>736</c:v>
                      </c:pt>
                      <c:pt idx="178">
                        <c:v>1004</c:v>
                      </c:pt>
                      <c:pt idx="179">
                        <c:v>1900</c:v>
                      </c:pt>
                      <c:pt idx="180">
                        <c:v>1495</c:v>
                      </c:pt>
                      <c:pt idx="181">
                        <c:v>891</c:v>
                      </c:pt>
                      <c:pt idx="182">
                        <c:v>1331</c:v>
                      </c:pt>
                      <c:pt idx="183">
                        <c:v>1166</c:v>
                      </c:pt>
                      <c:pt idx="184">
                        <c:v>1411</c:v>
                      </c:pt>
                      <c:pt idx="185">
                        <c:v>152</c:v>
                      </c:pt>
                      <c:pt idx="186">
                        <c:v>1707</c:v>
                      </c:pt>
                      <c:pt idx="187">
                        <c:v>1662</c:v>
                      </c:pt>
                      <c:pt idx="188">
                        <c:v>1063</c:v>
                      </c:pt>
                      <c:pt idx="189">
                        <c:v>510</c:v>
                      </c:pt>
                      <c:pt idx="190">
                        <c:v>1658</c:v>
                      </c:pt>
                      <c:pt idx="191">
                        <c:v>1596</c:v>
                      </c:pt>
                      <c:pt idx="192">
                        <c:v>442</c:v>
                      </c:pt>
                      <c:pt idx="193">
                        <c:v>1957</c:v>
                      </c:pt>
                      <c:pt idx="194">
                        <c:v>623</c:v>
                      </c:pt>
                      <c:pt idx="195">
                        <c:v>520</c:v>
                      </c:pt>
                      <c:pt idx="196">
                        <c:v>1707</c:v>
                      </c:pt>
                      <c:pt idx="197">
                        <c:v>777</c:v>
                      </c:pt>
                      <c:pt idx="198">
                        <c:v>1035</c:v>
                      </c:pt>
                      <c:pt idx="199">
                        <c:v>119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[1]Engagement_vs_AdSpend!$D$4:$D$203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310</c:v>
                      </c:pt>
                      <c:pt idx="1">
                        <c:v>414</c:v>
                      </c:pt>
                      <c:pt idx="2">
                        <c:v>371</c:v>
                      </c:pt>
                      <c:pt idx="3">
                        <c:v>109</c:v>
                      </c:pt>
                      <c:pt idx="4">
                        <c:v>441</c:v>
                      </c:pt>
                      <c:pt idx="5">
                        <c:v>41</c:v>
                      </c:pt>
                      <c:pt idx="6">
                        <c:v>334</c:v>
                      </c:pt>
                      <c:pt idx="7">
                        <c:v>430</c:v>
                      </c:pt>
                      <c:pt idx="8">
                        <c:v>478</c:v>
                      </c:pt>
                      <c:pt idx="9">
                        <c:v>411</c:v>
                      </c:pt>
                      <c:pt idx="10">
                        <c:v>200</c:v>
                      </c:pt>
                      <c:pt idx="11">
                        <c:v>20</c:v>
                      </c:pt>
                      <c:pt idx="12">
                        <c:v>211</c:v>
                      </c:pt>
                      <c:pt idx="13">
                        <c:v>475</c:v>
                      </c:pt>
                      <c:pt idx="14">
                        <c:v>414</c:v>
                      </c:pt>
                      <c:pt idx="15">
                        <c:v>345</c:v>
                      </c:pt>
                      <c:pt idx="16">
                        <c:v>217</c:v>
                      </c:pt>
                      <c:pt idx="17">
                        <c:v>429</c:v>
                      </c:pt>
                      <c:pt idx="18">
                        <c:v>267</c:v>
                      </c:pt>
                      <c:pt idx="19">
                        <c:v>358</c:v>
                      </c:pt>
                      <c:pt idx="20">
                        <c:v>69</c:v>
                      </c:pt>
                      <c:pt idx="21">
                        <c:v>473</c:v>
                      </c:pt>
                      <c:pt idx="22">
                        <c:v>407</c:v>
                      </c:pt>
                      <c:pt idx="23">
                        <c:v>277</c:v>
                      </c:pt>
                      <c:pt idx="24">
                        <c:v>441</c:v>
                      </c:pt>
                      <c:pt idx="25">
                        <c:v>378</c:v>
                      </c:pt>
                      <c:pt idx="26">
                        <c:v>196</c:v>
                      </c:pt>
                      <c:pt idx="27">
                        <c:v>141</c:v>
                      </c:pt>
                      <c:pt idx="28">
                        <c:v>246</c:v>
                      </c:pt>
                      <c:pt idx="29">
                        <c:v>425</c:v>
                      </c:pt>
                      <c:pt idx="30">
                        <c:v>204</c:v>
                      </c:pt>
                      <c:pt idx="31">
                        <c:v>196</c:v>
                      </c:pt>
                      <c:pt idx="32">
                        <c:v>353</c:v>
                      </c:pt>
                      <c:pt idx="33">
                        <c:v>236</c:v>
                      </c:pt>
                      <c:pt idx="34">
                        <c:v>351</c:v>
                      </c:pt>
                      <c:pt idx="35">
                        <c:v>411</c:v>
                      </c:pt>
                      <c:pt idx="36">
                        <c:v>382</c:v>
                      </c:pt>
                      <c:pt idx="37">
                        <c:v>305</c:v>
                      </c:pt>
                      <c:pt idx="38">
                        <c:v>177</c:v>
                      </c:pt>
                      <c:pt idx="39">
                        <c:v>464</c:v>
                      </c:pt>
                      <c:pt idx="40">
                        <c:v>190</c:v>
                      </c:pt>
                      <c:pt idx="41">
                        <c:v>242</c:v>
                      </c:pt>
                      <c:pt idx="42">
                        <c:v>135</c:v>
                      </c:pt>
                      <c:pt idx="43">
                        <c:v>474</c:v>
                      </c:pt>
                      <c:pt idx="44">
                        <c:v>278</c:v>
                      </c:pt>
                      <c:pt idx="45">
                        <c:v>373</c:v>
                      </c:pt>
                      <c:pt idx="46">
                        <c:v>330</c:v>
                      </c:pt>
                      <c:pt idx="47">
                        <c:v>380</c:v>
                      </c:pt>
                      <c:pt idx="48">
                        <c:v>66</c:v>
                      </c:pt>
                      <c:pt idx="49">
                        <c:v>430</c:v>
                      </c:pt>
                      <c:pt idx="50">
                        <c:v>88</c:v>
                      </c:pt>
                      <c:pt idx="51">
                        <c:v>139</c:v>
                      </c:pt>
                      <c:pt idx="52">
                        <c:v>155</c:v>
                      </c:pt>
                      <c:pt idx="53">
                        <c:v>282</c:v>
                      </c:pt>
                      <c:pt idx="54">
                        <c:v>445</c:v>
                      </c:pt>
                      <c:pt idx="55">
                        <c:v>85</c:v>
                      </c:pt>
                      <c:pt idx="56">
                        <c:v>115</c:v>
                      </c:pt>
                      <c:pt idx="57">
                        <c:v>349</c:v>
                      </c:pt>
                      <c:pt idx="58">
                        <c:v>112</c:v>
                      </c:pt>
                      <c:pt idx="59">
                        <c:v>293</c:v>
                      </c:pt>
                      <c:pt idx="60">
                        <c:v>203</c:v>
                      </c:pt>
                      <c:pt idx="61">
                        <c:v>139</c:v>
                      </c:pt>
                      <c:pt idx="62">
                        <c:v>76</c:v>
                      </c:pt>
                      <c:pt idx="63">
                        <c:v>182</c:v>
                      </c:pt>
                      <c:pt idx="64">
                        <c:v>20</c:v>
                      </c:pt>
                      <c:pt idx="65">
                        <c:v>401</c:v>
                      </c:pt>
                      <c:pt idx="66">
                        <c:v>151</c:v>
                      </c:pt>
                      <c:pt idx="67">
                        <c:v>408</c:v>
                      </c:pt>
                      <c:pt idx="68">
                        <c:v>67</c:v>
                      </c:pt>
                      <c:pt idx="69">
                        <c:v>303</c:v>
                      </c:pt>
                      <c:pt idx="70">
                        <c:v>441</c:v>
                      </c:pt>
                      <c:pt idx="71">
                        <c:v>66</c:v>
                      </c:pt>
                      <c:pt idx="72">
                        <c:v>69</c:v>
                      </c:pt>
                      <c:pt idx="73">
                        <c:v>173</c:v>
                      </c:pt>
                      <c:pt idx="74">
                        <c:v>236</c:v>
                      </c:pt>
                      <c:pt idx="75">
                        <c:v>161</c:v>
                      </c:pt>
                      <c:pt idx="76">
                        <c:v>71</c:v>
                      </c:pt>
                      <c:pt idx="77">
                        <c:v>375</c:v>
                      </c:pt>
                      <c:pt idx="78">
                        <c:v>70</c:v>
                      </c:pt>
                      <c:pt idx="79">
                        <c:v>408</c:v>
                      </c:pt>
                      <c:pt idx="80">
                        <c:v>49</c:v>
                      </c:pt>
                      <c:pt idx="81">
                        <c:v>110</c:v>
                      </c:pt>
                      <c:pt idx="82">
                        <c:v>133</c:v>
                      </c:pt>
                      <c:pt idx="83">
                        <c:v>176</c:v>
                      </c:pt>
                      <c:pt idx="84">
                        <c:v>281</c:v>
                      </c:pt>
                      <c:pt idx="85">
                        <c:v>476</c:v>
                      </c:pt>
                      <c:pt idx="86">
                        <c:v>234</c:v>
                      </c:pt>
                      <c:pt idx="87">
                        <c:v>173</c:v>
                      </c:pt>
                      <c:pt idx="88">
                        <c:v>65</c:v>
                      </c:pt>
                      <c:pt idx="89">
                        <c:v>56</c:v>
                      </c:pt>
                      <c:pt idx="90">
                        <c:v>181</c:v>
                      </c:pt>
                      <c:pt idx="91">
                        <c:v>422</c:v>
                      </c:pt>
                      <c:pt idx="92">
                        <c:v>29</c:v>
                      </c:pt>
                      <c:pt idx="93">
                        <c:v>392</c:v>
                      </c:pt>
                      <c:pt idx="94">
                        <c:v>392</c:v>
                      </c:pt>
                      <c:pt idx="95">
                        <c:v>358</c:v>
                      </c:pt>
                      <c:pt idx="96">
                        <c:v>358</c:v>
                      </c:pt>
                      <c:pt idx="97">
                        <c:v>154</c:v>
                      </c:pt>
                      <c:pt idx="98">
                        <c:v>76</c:v>
                      </c:pt>
                      <c:pt idx="99">
                        <c:v>109</c:v>
                      </c:pt>
                      <c:pt idx="100">
                        <c:v>169</c:v>
                      </c:pt>
                      <c:pt idx="101">
                        <c:v>250</c:v>
                      </c:pt>
                      <c:pt idx="102">
                        <c:v>40</c:v>
                      </c:pt>
                      <c:pt idx="103">
                        <c:v>403</c:v>
                      </c:pt>
                      <c:pt idx="104">
                        <c:v>63</c:v>
                      </c:pt>
                      <c:pt idx="105">
                        <c:v>440</c:v>
                      </c:pt>
                      <c:pt idx="106">
                        <c:v>275</c:v>
                      </c:pt>
                      <c:pt idx="107">
                        <c:v>385</c:v>
                      </c:pt>
                      <c:pt idx="108">
                        <c:v>261</c:v>
                      </c:pt>
                      <c:pt idx="109">
                        <c:v>498</c:v>
                      </c:pt>
                      <c:pt idx="110">
                        <c:v>448</c:v>
                      </c:pt>
                      <c:pt idx="111">
                        <c:v>86</c:v>
                      </c:pt>
                      <c:pt idx="112">
                        <c:v>71</c:v>
                      </c:pt>
                      <c:pt idx="113">
                        <c:v>360</c:v>
                      </c:pt>
                      <c:pt idx="114">
                        <c:v>491</c:v>
                      </c:pt>
                      <c:pt idx="115">
                        <c:v>347</c:v>
                      </c:pt>
                      <c:pt idx="116">
                        <c:v>231</c:v>
                      </c:pt>
                      <c:pt idx="117">
                        <c:v>153</c:v>
                      </c:pt>
                      <c:pt idx="118">
                        <c:v>330</c:v>
                      </c:pt>
                      <c:pt idx="119">
                        <c:v>221</c:v>
                      </c:pt>
                      <c:pt idx="120">
                        <c:v>61</c:v>
                      </c:pt>
                      <c:pt idx="121">
                        <c:v>154</c:v>
                      </c:pt>
                      <c:pt idx="122">
                        <c:v>218</c:v>
                      </c:pt>
                      <c:pt idx="123">
                        <c:v>337</c:v>
                      </c:pt>
                      <c:pt idx="124">
                        <c:v>183</c:v>
                      </c:pt>
                      <c:pt idx="125">
                        <c:v>232</c:v>
                      </c:pt>
                      <c:pt idx="126">
                        <c:v>268</c:v>
                      </c:pt>
                      <c:pt idx="127">
                        <c:v>210</c:v>
                      </c:pt>
                      <c:pt idx="128">
                        <c:v>233</c:v>
                      </c:pt>
                      <c:pt idx="129">
                        <c:v>226</c:v>
                      </c:pt>
                      <c:pt idx="130">
                        <c:v>257</c:v>
                      </c:pt>
                      <c:pt idx="131">
                        <c:v>445</c:v>
                      </c:pt>
                      <c:pt idx="132">
                        <c:v>262</c:v>
                      </c:pt>
                      <c:pt idx="133">
                        <c:v>149</c:v>
                      </c:pt>
                      <c:pt idx="134">
                        <c:v>75</c:v>
                      </c:pt>
                      <c:pt idx="135">
                        <c:v>358</c:v>
                      </c:pt>
                      <c:pt idx="136">
                        <c:v>385</c:v>
                      </c:pt>
                      <c:pt idx="137">
                        <c:v>399</c:v>
                      </c:pt>
                      <c:pt idx="138">
                        <c:v>153</c:v>
                      </c:pt>
                      <c:pt idx="139">
                        <c:v>47</c:v>
                      </c:pt>
                      <c:pt idx="140">
                        <c:v>49</c:v>
                      </c:pt>
                      <c:pt idx="141">
                        <c:v>216</c:v>
                      </c:pt>
                      <c:pt idx="142">
                        <c:v>72</c:v>
                      </c:pt>
                      <c:pt idx="143">
                        <c:v>270</c:v>
                      </c:pt>
                      <c:pt idx="144">
                        <c:v>425</c:v>
                      </c:pt>
                      <c:pt idx="145">
                        <c:v>300</c:v>
                      </c:pt>
                      <c:pt idx="146">
                        <c:v>388</c:v>
                      </c:pt>
                      <c:pt idx="147">
                        <c:v>274</c:v>
                      </c:pt>
                      <c:pt idx="148">
                        <c:v>71</c:v>
                      </c:pt>
                      <c:pt idx="149">
                        <c:v>68</c:v>
                      </c:pt>
                      <c:pt idx="150">
                        <c:v>445</c:v>
                      </c:pt>
                      <c:pt idx="151">
                        <c:v>203</c:v>
                      </c:pt>
                      <c:pt idx="152">
                        <c:v>66</c:v>
                      </c:pt>
                      <c:pt idx="153">
                        <c:v>431</c:v>
                      </c:pt>
                      <c:pt idx="154">
                        <c:v>53</c:v>
                      </c:pt>
                      <c:pt idx="155">
                        <c:v>369</c:v>
                      </c:pt>
                      <c:pt idx="156">
                        <c:v>64</c:v>
                      </c:pt>
                      <c:pt idx="157">
                        <c:v>487</c:v>
                      </c:pt>
                      <c:pt idx="158">
                        <c:v>101</c:v>
                      </c:pt>
                      <c:pt idx="159">
                        <c:v>141</c:v>
                      </c:pt>
                      <c:pt idx="160">
                        <c:v>178</c:v>
                      </c:pt>
                      <c:pt idx="161">
                        <c:v>31</c:v>
                      </c:pt>
                      <c:pt idx="162">
                        <c:v>394</c:v>
                      </c:pt>
                      <c:pt idx="163">
                        <c:v>395</c:v>
                      </c:pt>
                      <c:pt idx="164">
                        <c:v>309</c:v>
                      </c:pt>
                      <c:pt idx="165">
                        <c:v>155</c:v>
                      </c:pt>
                      <c:pt idx="166">
                        <c:v>212</c:v>
                      </c:pt>
                      <c:pt idx="167">
                        <c:v>212</c:v>
                      </c:pt>
                      <c:pt idx="168">
                        <c:v>189</c:v>
                      </c:pt>
                      <c:pt idx="169">
                        <c:v>47</c:v>
                      </c:pt>
                      <c:pt idx="170">
                        <c:v>223</c:v>
                      </c:pt>
                      <c:pt idx="171">
                        <c:v>157</c:v>
                      </c:pt>
                      <c:pt idx="172">
                        <c:v>463</c:v>
                      </c:pt>
                      <c:pt idx="173">
                        <c:v>105</c:v>
                      </c:pt>
                      <c:pt idx="174">
                        <c:v>218</c:v>
                      </c:pt>
                      <c:pt idx="175">
                        <c:v>408</c:v>
                      </c:pt>
                      <c:pt idx="176">
                        <c:v>161</c:v>
                      </c:pt>
                      <c:pt idx="177">
                        <c:v>163</c:v>
                      </c:pt>
                      <c:pt idx="178">
                        <c:v>128</c:v>
                      </c:pt>
                      <c:pt idx="179">
                        <c:v>311</c:v>
                      </c:pt>
                      <c:pt idx="180">
                        <c:v>35</c:v>
                      </c:pt>
                      <c:pt idx="181">
                        <c:v>45</c:v>
                      </c:pt>
                      <c:pt idx="182">
                        <c:v>430</c:v>
                      </c:pt>
                      <c:pt idx="183">
                        <c:v>442</c:v>
                      </c:pt>
                      <c:pt idx="184">
                        <c:v>186</c:v>
                      </c:pt>
                      <c:pt idx="185">
                        <c:v>355</c:v>
                      </c:pt>
                      <c:pt idx="186">
                        <c:v>263</c:v>
                      </c:pt>
                      <c:pt idx="187">
                        <c:v>487</c:v>
                      </c:pt>
                      <c:pt idx="188">
                        <c:v>47</c:v>
                      </c:pt>
                      <c:pt idx="189">
                        <c:v>195</c:v>
                      </c:pt>
                      <c:pt idx="190">
                        <c:v>416</c:v>
                      </c:pt>
                      <c:pt idx="191">
                        <c:v>211</c:v>
                      </c:pt>
                      <c:pt idx="192">
                        <c:v>53</c:v>
                      </c:pt>
                      <c:pt idx="193">
                        <c:v>490</c:v>
                      </c:pt>
                      <c:pt idx="194">
                        <c:v>414</c:v>
                      </c:pt>
                      <c:pt idx="195">
                        <c:v>375</c:v>
                      </c:pt>
                      <c:pt idx="196">
                        <c:v>74</c:v>
                      </c:pt>
                      <c:pt idx="197">
                        <c:v>140</c:v>
                      </c:pt>
                      <c:pt idx="198">
                        <c:v>171</c:v>
                      </c:pt>
                      <c:pt idx="199">
                        <c:v>456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CA-8A7F-4AB1-BF3C-4921E1EC52E2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[1]Engagement_vs_AdSpend!$C$4:$C$203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1312</c:v>
                      </c:pt>
                      <c:pt idx="1">
                        <c:v>1697</c:v>
                      </c:pt>
                      <c:pt idx="2">
                        <c:v>1753</c:v>
                      </c:pt>
                      <c:pt idx="3">
                        <c:v>1779</c:v>
                      </c:pt>
                      <c:pt idx="4">
                        <c:v>505</c:v>
                      </c:pt>
                      <c:pt idx="5">
                        <c:v>350</c:v>
                      </c:pt>
                      <c:pt idx="6">
                        <c:v>170</c:v>
                      </c:pt>
                      <c:pt idx="7">
                        <c:v>1391</c:v>
                      </c:pt>
                      <c:pt idx="8">
                        <c:v>160</c:v>
                      </c:pt>
                      <c:pt idx="9">
                        <c:v>214</c:v>
                      </c:pt>
                      <c:pt idx="10">
                        <c:v>1534</c:v>
                      </c:pt>
                      <c:pt idx="11">
                        <c:v>1078</c:v>
                      </c:pt>
                      <c:pt idx="12">
                        <c:v>248</c:v>
                      </c:pt>
                      <c:pt idx="13">
                        <c:v>1520</c:v>
                      </c:pt>
                      <c:pt idx="14">
                        <c:v>1842</c:v>
                      </c:pt>
                      <c:pt idx="15">
                        <c:v>443</c:v>
                      </c:pt>
                      <c:pt idx="16">
                        <c:v>198</c:v>
                      </c:pt>
                      <c:pt idx="17">
                        <c:v>250</c:v>
                      </c:pt>
                      <c:pt idx="18">
                        <c:v>1929</c:v>
                      </c:pt>
                      <c:pt idx="19">
                        <c:v>643</c:v>
                      </c:pt>
                      <c:pt idx="20">
                        <c:v>508</c:v>
                      </c:pt>
                      <c:pt idx="21">
                        <c:v>859</c:v>
                      </c:pt>
                      <c:pt idx="22">
                        <c:v>947</c:v>
                      </c:pt>
                      <c:pt idx="23">
                        <c:v>171</c:v>
                      </c:pt>
                      <c:pt idx="24">
                        <c:v>513</c:v>
                      </c:pt>
                      <c:pt idx="25">
                        <c:v>1710</c:v>
                      </c:pt>
                      <c:pt idx="26">
                        <c:v>1902</c:v>
                      </c:pt>
                      <c:pt idx="27">
                        <c:v>1514</c:v>
                      </c:pt>
                      <c:pt idx="28">
                        <c:v>1623</c:v>
                      </c:pt>
                      <c:pt idx="29">
                        <c:v>1155</c:v>
                      </c:pt>
                      <c:pt idx="30">
                        <c:v>1980</c:v>
                      </c:pt>
                      <c:pt idx="31">
                        <c:v>816</c:v>
                      </c:pt>
                      <c:pt idx="32">
                        <c:v>651</c:v>
                      </c:pt>
                      <c:pt idx="33">
                        <c:v>663</c:v>
                      </c:pt>
                      <c:pt idx="34">
                        <c:v>1249</c:v>
                      </c:pt>
                      <c:pt idx="35">
                        <c:v>1159</c:v>
                      </c:pt>
                      <c:pt idx="36">
                        <c:v>1294</c:v>
                      </c:pt>
                      <c:pt idx="37">
                        <c:v>1895</c:v>
                      </c:pt>
                      <c:pt idx="38">
                        <c:v>1884</c:v>
                      </c:pt>
                      <c:pt idx="39">
                        <c:v>345</c:v>
                      </c:pt>
                      <c:pt idx="40">
                        <c:v>1098</c:v>
                      </c:pt>
                      <c:pt idx="41">
                        <c:v>1358</c:v>
                      </c:pt>
                      <c:pt idx="42">
                        <c:v>609</c:v>
                      </c:pt>
                      <c:pt idx="43">
                        <c:v>988</c:v>
                      </c:pt>
                      <c:pt idx="44">
                        <c:v>1307</c:v>
                      </c:pt>
                      <c:pt idx="45">
                        <c:v>198</c:v>
                      </c:pt>
                      <c:pt idx="46">
                        <c:v>1375</c:v>
                      </c:pt>
                      <c:pt idx="47">
                        <c:v>833</c:v>
                      </c:pt>
                      <c:pt idx="48">
                        <c:v>405</c:v>
                      </c:pt>
                      <c:pt idx="49">
                        <c:v>837</c:v>
                      </c:pt>
                      <c:pt idx="50">
                        <c:v>1135</c:v>
                      </c:pt>
                      <c:pt idx="51">
                        <c:v>656</c:v>
                      </c:pt>
                      <c:pt idx="52">
                        <c:v>1048</c:v>
                      </c:pt>
                      <c:pt idx="53">
                        <c:v>911</c:v>
                      </c:pt>
                      <c:pt idx="54">
                        <c:v>226</c:v>
                      </c:pt>
                      <c:pt idx="55">
                        <c:v>1757</c:v>
                      </c:pt>
                      <c:pt idx="56">
                        <c:v>1960</c:v>
                      </c:pt>
                      <c:pt idx="57">
                        <c:v>508</c:v>
                      </c:pt>
                      <c:pt idx="58">
                        <c:v>653</c:v>
                      </c:pt>
                      <c:pt idx="59">
                        <c:v>645</c:v>
                      </c:pt>
                      <c:pt idx="60">
                        <c:v>1528</c:v>
                      </c:pt>
                      <c:pt idx="61">
                        <c:v>215</c:v>
                      </c:pt>
                      <c:pt idx="62">
                        <c:v>1685</c:v>
                      </c:pt>
                      <c:pt idx="63">
                        <c:v>1429</c:v>
                      </c:pt>
                      <c:pt idx="64">
                        <c:v>1592</c:v>
                      </c:pt>
                      <c:pt idx="65">
                        <c:v>778</c:v>
                      </c:pt>
                      <c:pt idx="66">
                        <c:v>817</c:v>
                      </c:pt>
                      <c:pt idx="67">
                        <c:v>1433</c:v>
                      </c:pt>
                      <c:pt idx="68">
                        <c:v>1939</c:v>
                      </c:pt>
                      <c:pt idx="69">
                        <c:v>1527</c:v>
                      </c:pt>
                      <c:pt idx="70">
                        <c:v>703</c:v>
                      </c:pt>
                      <c:pt idx="71">
                        <c:v>642</c:v>
                      </c:pt>
                      <c:pt idx="72">
                        <c:v>1466</c:v>
                      </c:pt>
                      <c:pt idx="73">
                        <c:v>1075</c:v>
                      </c:pt>
                      <c:pt idx="74">
                        <c:v>187</c:v>
                      </c:pt>
                      <c:pt idx="75">
                        <c:v>1854</c:v>
                      </c:pt>
                      <c:pt idx="76">
                        <c:v>1696</c:v>
                      </c:pt>
                      <c:pt idx="77">
                        <c:v>1494</c:v>
                      </c:pt>
                      <c:pt idx="78">
                        <c:v>1502</c:v>
                      </c:pt>
                      <c:pt idx="79">
                        <c:v>1092</c:v>
                      </c:pt>
                      <c:pt idx="80">
                        <c:v>1814</c:v>
                      </c:pt>
                      <c:pt idx="81">
                        <c:v>1013</c:v>
                      </c:pt>
                      <c:pt idx="82">
                        <c:v>1855</c:v>
                      </c:pt>
                      <c:pt idx="83">
                        <c:v>1748</c:v>
                      </c:pt>
                      <c:pt idx="84">
                        <c:v>115</c:v>
                      </c:pt>
                      <c:pt idx="85">
                        <c:v>1556</c:v>
                      </c:pt>
                      <c:pt idx="86">
                        <c:v>1957</c:v>
                      </c:pt>
                      <c:pt idx="87">
                        <c:v>1138</c:v>
                      </c:pt>
                      <c:pt idx="88">
                        <c:v>1440</c:v>
                      </c:pt>
                      <c:pt idx="89">
                        <c:v>1371</c:v>
                      </c:pt>
                      <c:pt idx="90">
                        <c:v>393</c:v>
                      </c:pt>
                      <c:pt idx="91">
                        <c:v>1102</c:v>
                      </c:pt>
                      <c:pt idx="92">
                        <c:v>490</c:v>
                      </c:pt>
                      <c:pt idx="93">
                        <c:v>1033</c:v>
                      </c:pt>
                      <c:pt idx="94">
                        <c:v>559</c:v>
                      </c:pt>
                      <c:pt idx="95">
                        <c:v>198</c:v>
                      </c:pt>
                      <c:pt idx="96">
                        <c:v>961</c:v>
                      </c:pt>
                      <c:pt idx="97">
                        <c:v>1693</c:v>
                      </c:pt>
                      <c:pt idx="98">
                        <c:v>1957</c:v>
                      </c:pt>
                      <c:pt idx="99">
                        <c:v>1765</c:v>
                      </c:pt>
                      <c:pt idx="100">
                        <c:v>584</c:v>
                      </c:pt>
                      <c:pt idx="101">
                        <c:v>436</c:v>
                      </c:pt>
                      <c:pt idx="102">
                        <c:v>1335</c:v>
                      </c:pt>
                      <c:pt idx="103">
                        <c:v>1238</c:v>
                      </c:pt>
                      <c:pt idx="104">
                        <c:v>1420</c:v>
                      </c:pt>
                      <c:pt idx="105">
                        <c:v>987</c:v>
                      </c:pt>
                      <c:pt idx="106">
                        <c:v>704</c:v>
                      </c:pt>
                      <c:pt idx="107">
                        <c:v>1701</c:v>
                      </c:pt>
                      <c:pt idx="108">
                        <c:v>1756</c:v>
                      </c:pt>
                      <c:pt idx="109">
                        <c:v>826</c:v>
                      </c:pt>
                      <c:pt idx="110">
                        <c:v>485</c:v>
                      </c:pt>
                      <c:pt idx="111">
                        <c:v>1751</c:v>
                      </c:pt>
                      <c:pt idx="112">
                        <c:v>1300</c:v>
                      </c:pt>
                      <c:pt idx="113">
                        <c:v>557</c:v>
                      </c:pt>
                      <c:pt idx="114">
                        <c:v>751</c:v>
                      </c:pt>
                      <c:pt idx="115">
                        <c:v>1472</c:v>
                      </c:pt>
                      <c:pt idx="116">
                        <c:v>1911</c:v>
                      </c:pt>
                      <c:pt idx="117">
                        <c:v>752</c:v>
                      </c:pt>
                      <c:pt idx="118">
                        <c:v>437</c:v>
                      </c:pt>
                      <c:pt idx="119">
                        <c:v>201</c:v>
                      </c:pt>
                      <c:pt idx="120">
                        <c:v>697</c:v>
                      </c:pt>
                      <c:pt idx="121">
                        <c:v>191</c:v>
                      </c:pt>
                      <c:pt idx="122">
                        <c:v>1821</c:v>
                      </c:pt>
                      <c:pt idx="123">
                        <c:v>1487</c:v>
                      </c:pt>
                      <c:pt idx="124">
                        <c:v>628</c:v>
                      </c:pt>
                      <c:pt idx="125">
                        <c:v>330</c:v>
                      </c:pt>
                      <c:pt idx="126">
                        <c:v>1441</c:v>
                      </c:pt>
                      <c:pt idx="127">
                        <c:v>1937</c:v>
                      </c:pt>
                      <c:pt idx="128">
                        <c:v>1592</c:v>
                      </c:pt>
                      <c:pt idx="129">
                        <c:v>1137</c:v>
                      </c:pt>
                      <c:pt idx="130">
                        <c:v>1786</c:v>
                      </c:pt>
                      <c:pt idx="131">
                        <c:v>1633</c:v>
                      </c:pt>
                      <c:pt idx="132">
                        <c:v>118</c:v>
                      </c:pt>
                      <c:pt idx="133">
                        <c:v>1040</c:v>
                      </c:pt>
                      <c:pt idx="134">
                        <c:v>1501</c:v>
                      </c:pt>
                      <c:pt idx="135">
                        <c:v>927</c:v>
                      </c:pt>
                      <c:pt idx="136">
                        <c:v>1587</c:v>
                      </c:pt>
                      <c:pt idx="137">
                        <c:v>362</c:v>
                      </c:pt>
                      <c:pt idx="138">
                        <c:v>861</c:v>
                      </c:pt>
                      <c:pt idx="139">
                        <c:v>946</c:v>
                      </c:pt>
                      <c:pt idx="140">
                        <c:v>1399</c:v>
                      </c:pt>
                      <c:pt idx="141">
                        <c:v>1077</c:v>
                      </c:pt>
                      <c:pt idx="142">
                        <c:v>364</c:v>
                      </c:pt>
                      <c:pt idx="143">
                        <c:v>1946</c:v>
                      </c:pt>
                      <c:pt idx="144">
                        <c:v>1432</c:v>
                      </c:pt>
                      <c:pt idx="145">
                        <c:v>353</c:v>
                      </c:pt>
                      <c:pt idx="146">
                        <c:v>1147</c:v>
                      </c:pt>
                      <c:pt idx="147">
                        <c:v>1222</c:v>
                      </c:pt>
                      <c:pt idx="148">
                        <c:v>1581</c:v>
                      </c:pt>
                      <c:pt idx="149">
                        <c:v>337</c:v>
                      </c:pt>
                      <c:pt idx="150">
                        <c:v>1535</c:v>
                      </c:pt>
                      <c:pt idx="151">
                        <c:v>1197</c:v>
                      </c:pt>
                      <c:pt idx="152">
                        <c:v>403</c:v>
                      </c:pt>
                      <c:pt idx="153">
                        <c:v>308</c:v>
                      </c:pt>
                      <c:pt idx="154">
                        <c:v>144</c:v>
                      </c:pt>
                      <c:pt idx="155">
                        <c:v>883</c:v>
                      </c:pt>
                      <c:pt idx="156">
                        <c:v>224</c:v>
                      </c:pt>
                      <c:pt idx="157">
                        <c:v>804</c:v>
                      </c:pt>
                      <c:pt idx="158">
                        <c:v>576</c:v>
                      </c:pt>
                      <c:pt idx="159">
                        <c:v>460</c:v>
                      </c:pt>
                      <c:pt idx="160">
                        <c:v>1210</c:v>
                      </c:pt>
                      <c:pt idx="161">
                        <c:v>221</c:v>
                      </c:pt>
                      <c:pt idx="162">
                        <c:v>422</c:v>
                      </c:pt>
                      <c:pt idx="163">
                        <c:v>728</c:v>
                      </c:pt>
                      <c:pt idx="164">
                        <c:v>1409</c:v>
                      </c:pt>
                      <c:pt idx="165">
                        <c:v>123</c:v>
                      </c:pt>
                      <c:pt idx="166">
                        <c:v>1218</c:v>
                      </c:pt>
                      <c:pt idx="167">
                        <c:v>1918</c:v>
                      </c:pt>
                      <c:pt idx="168">
                        <c:v>307</c:v>
                      </c:pt>
                      <c:pt idx="169">
                        <c:v>414</c:v>
                      </c:pt>
                      <c:pt idx="170">
                        <c:v>1707</c:v>
                      </c:pt>
                      <c:pt idx="171">
                        <c:v>1814</c:v>
                      </c:pt>
                      <c:pt idx="172">
                        <c:v>1507</c:v>
                      </c:pt>
                      <c:pt idx="173">
                        <c:v>454</c:v>
                      </c:pt>
                      <c:pt idx="174">
                        <c:v>278</c:v>
                      </c:pt>
                      <c:pt idx="175">
                        <c:v>1293</c:v>
                      </c:pt>
                      <c:pt idx="176">
                        <c:v>452</c:v>
                      </c:pt>
                      <c:pt idx="177">
                        <c:v>736</c:v>
                      </c:pt>
                      <c:pt idx="178">
                        <c:v>1004</c:v>
                      </c:pt>
                      <c:pt idx="179">
                        <c:v>1900</c:v>
                      </c:pt>
                      <c:pt idx="180">
                        <c:v>1495</c:v>
                      </c:pt>
                      <c:pt idx="181">
                        <c:v>891</c:v>
                      </c:pt>
                      <c:pt idx="182">
                        <c:v>1331</c:v>
                      </c:pt>
                      <c:pt idx="183">
                        <c:v>1166</c:v>
                      </c:pt>
                      <c:pt idx="184">
                        <c:v>1411</c:v>
                      </c:pt>
                      <c:pt idx="185">
                        <c:v>152</c:v>
                      </c:pt>
                      <c:pt idx="186">
                        <c:v>1707</c:v>
                      </c:pt>
                      <c:pt idx="187">
                        <c:v>1662</c:v>
                      </c:pt>
                      <c:pt idx="188">
                        <c:v>1063</c:v>
                      </c:pt>
                      <c:pt idx="189">
                        <c:v>510</c:v>
                      </c:pt>
                      <c:pt idx="190">
                        <c:v>1658</c:v>
                      </c:pt>
                      <c:pt idx="191">
                        <c:v>1596</c:v>
                      </c:pt>
                      <c:pt idx="192">
                        <c:v>442</c:v>
                      </c:pt>
                      <c:pt idx="193">
                        <c:v>1957</c:v>
                      </c:pt>
                      <c:pt idx="194">
                        <c:v>623</c:v>
                      </c:pt>
                      <c:pt idx="195">
                        <c:v>520</c:v>
                      </c:pt>
                      <c:pt idx="196">
                        <c:v>1707</c:v>
                      </c:pt>
                      <c:pt idx="197">
                        <c:v>777</c:v>
                      </c:pt>
                      <c:pt idx="198">
                        <c:v>1035</c:v>
                      </c:pt>
                      <c:pt idx="199">
                        <c:v>119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[1]Engagement_vs_AdSpend!$E$4:$E$203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42654</c:v>
                      </c:pt>
                      <c:pt idx="1">
                        <c:v>316555</c:v>
                      </c:pt>
                      <c:pt idx="2">
                        <c:v>169496</c:v>
                      </c:pt>
                      <c:pt idx="3">
                        <c:v>26295</c:v>
                      </c:pt>
                      <c:pt idx="4">
                        <c:v>220020</c:v>
                      </c:pt>
                      <c:pt idx="5">
                        <c:v>251694</c:v>
                      </c:pt>
                      <c:pt idx="6">
                        <c:v>334626</c:v>
                      </c:pt>
                      <c:pt idx="7">
                        <c:v>295032</c:v>
                      </c:pt>
                      <c:pt idx="8">
                        <c:v>435034</c:v>
                      </c:pt>
                      <c:pt idx="9">
                        <c:v>125034</c:v>
                      </c:pt>
                      <c:pt idx="10">
                        <c:v>307612</c:v>
                      </c:pt>
                      <c:pt idx="11">
                        <c:v>183924</c:v>
                      </c:pt>
                      <c:pt idx="12">
                        <c:v>379380</c:v>
                      </c:pt>
                      <c:pt idx="13">
                        <c:v>496982</c:v>
                      </c:pt>
                      <c:pt idx="14">
                        <c:v>307524</c:v>
                      </c:pt>
                      <c:pt idx="15">
                        <c:v>474162</c:v>
                      </c:pt>
                      <c:pt idx="16">
                        <c:v>239753</c:v>
                      </c:pt>
                      <c:pt idx="17">
                        <c:v>453423</c:v>
                      </c:pt>
                      <c:pt idx="18">
                        <c:v>379363</c:v>
                      </c:pt>
                      <c:pt idx="19">
                        <c:v>157599</c:v>
                      </c:pt>
                      <c:pt idx="20">
                        <c:v>23492</c:v>
                      </c:pt>
                      <c:pt idx="21">
                        <c:v>209987</c:v>
                      </c:pt>
                      <c:pt idx="22">
                        <c:v>319186</c:v>
                      </c:pt>
                      <c:pt idx="23">
                        <c:v>309483</c:v>
                      </c:pt>
                      <c:pt idx="24">
                        <c:v>338847</c:v>
                      </c:pt>
                      <c:pt idx="25">
                        <c:v>336661</c:v>
                      </c:pt>
                      <c:pt idx="26">
                        <c:v>470269</c:v>
                      </c:pt>
                      <c:pt idx="27">
                        <c:v>35842</c:v>
                      </c:pt>
                      <c:pt idx="28">
                        <c:v>415815</c:v>
                      </c:pt>
                      <c:pt idx="29">
                        <c:v>93347</c:v>
                      </c:pt>
                      <c:pt idx="30">
                        <c:v>379431</c:v>
                      </c:pt>
                      <c:pt idx="31">
                        <c:v>95728</c:v>
                      </c:pt>
                      <c:pt idx="32">
                        <c:v>224699</c:v>
                      </c:pt>
                      <c:pt idx="33">
                        <c:v>479490</c:v>
                      </c:pt>
                      <c:pt idx="34">
                        <c:v>321307</c:v>
                      </c:pt>
                      <c:pt idx="35">
                        <c:v>135987</c:v>
                      </c:pt>
                      <c:pt idx="36">
                        <c:v>309914</c:v>
                      </c:pt>
                      <c:pt idx="37">
                        <c:v>104967</c:v>
                      </c:pt>
                      <c:pt idx="38">
                        <c:v>230448</c:v>
                      </c:pt>
                      <c:pt idx="39">
                        <c:v>366881</c:v>
                      </c:pt>
                      <c:pt idx="40">
                        <c:v>340842</c:v>
                      </c:pt>
                      <c:pt idx="41">
                        <c:v>342129</c:v>
                      </c:pt>
                      <c:pt idx="42">
                        <c:v>373606</c:v>
                      </c:pt>
                      <c:pt idx="43">
                        <c:v>370070</c:v>
                      </c:pt>
                      <c:pt idx="44">
                        <c:v>98596</c:v>
                      </c:pt>
                      <c:pt idx="45">
                        <c:v>70707</c:v>
                      </c:pt>
                      <c:pt idx="46">
                        <c:v>377382</c:v>
                      </c:pt>
                      <c:pt idx="47">
                        <c:v>224830</c:v>
                      </c:pt>
                      <c:pt idx="48">
                        <c:v>418696</c:v>
                      </c:pt>
                      <c:pt idx="49">
                        <c:v>364820</c:v>
                      </c:pt>
                      <c:pt idx="50">
                        <c:v>344084</c:v>
                      </c:pt>
                      <c:pt idx="51">
                        <c:v>49157</c:v>
                      </c:pt>
                      <c:pt idx="52">
                        <c:v>456946</c:v>
                      </c:pt>
                      <c:pt idx="53">
                        <c:v>35664</c:v>
                      </c:pt>
                      <c:pt idx="54">
                        <c:v>419447</c:v>
                      </c:pt>
                      <c:pt idx="55">
                        <c:v>58223</c:v>
                      </c:pt>
                      <c:pt idx="56">
                        <c:v>154169</c:v>
                      </c:pt>
                      <c:pt idx="57">
                        <c:v>473812</c:v>
                      </c:pt>
                      <c:pt idx="58">
                        <c:v>23664</c:v>
                      </c:pt>
                      <c:pt idx="59">
                        <c:v>437968</c:v>
                      </c:pt>
                      <c:pt idx="60">
                        <c:v>489188</c:v>
                      </c:pt>
                      <c:pt idx="61">
                        <c:v>325444</c:v>
                      </c:pt>
                      <c:pt idx="62">
                        <c:v>453799</c:v>
                      </c:pt>
                      <c:pt idx="63">
                        <c:v>101332</c:v>
                      </c:pt>
                      <c:pt idx="64">
                        <c:v>378054</c:v>
                      </c:pt>
                      <c:pt idx="65">
                        <c:v>50793</c:v>
                      </c:pt>
                      <c:pt idx="66">
                        <c:v>422625</c:v>
                      </c:pt>
                      <c:pt idx="67">
                        <c:v>370269</c:v>
                      </c:pt>
                      <c:pt idx="68">
                        <c:v>187183</c:v>
                      </c:pt>
                      <c:pt idx="69">
                        <c:v>388555</c:v>
                      </c:pt>
                      <c:pt idx="70">
                        <c:v>357089</c:v>
                      </c:pt>
                      <c:pt idx="71">
                        <c:v>346522</c:v>
                      </c:pt>
                      <c:pt idx="72">
                        <c:v>54935</c:v>
                      </c:pt>
                      <c:pt idx="73">
                        <c:v>51395</c:v>
                      </c:pt>
                      <c:pt idx="74">
                        <c:v>51087</c:v>
                      </c:pt>
                      <c:pt idx="75">
                        <c:v>282466</c:v>
                      </c:pt>
                      <c:pt idx="76">
                        <c:v>421957</c:v>
                      </c:pt>
                      <c:pt idx="77">
                        <c:v>220616</c:v>
                      </c:pt>
                      <c:pt idx="78">
                        <c:v>465553</c:v>
                      </c:pt>
                      <c:pt idx="79">
                        <c:v>280795</c:v>
                      </c:pt>
                      <c:pt idx="80">
                        <c:v>140804</c:v>
                      </c:pt>
                      <c:pt idx="81">
                        <c:v>466382</c:v>
                      </c:pt>
                      <c:pt idx="82">
                        <c:v>349413</c:v>
                      </c:pt>
                      <c:pt idx="83">
                        <c:v>383681</c:v>
                      </c:pt>
                      <c:pt idx="84">
                        <c:v>357265</c:v>
                      </c:pt>
                      <c:pt idx="85">
                        <c:v>351556</c:v>
                      </c:pt>
                      <c:pt idx="86">
                        <c:v>222126</c:v>
                      </c:pt>
                      <c:pt idx="87">
                        <c:v>453243</c:v>
                      </c:pt>
                      <c:pt idx="88">
                        <c:v>126524</c:v>
                      </c:pt>
                      <c:pt idx="89">
                        <c:v>257579</c:v>
                      </c:pt>
                      <c:pt idx="90">
                        <c:v>462142</c:v>
                      </c:pt>
                      <c:pt idx="91">
                        <c:v>410330</c:v>
                      </c:pt>
                      <c:pt idx="92">
                        <c:v>364810</c:v>
                      </c:pt>
                      <c:pt idx="93">
                        <c:v>282780</c:v>
                      </c:pt>
                      <c:pt idx="94">
                        <c:v>78789</c:v>
                      </c:pt>
                      <c:pt idx="95">
                        <c:v>66682</c:v>
                      </c:pt>
                      <c:pt idx="96">
                        <c:v>62942</c:v>
                      </c:pt>
                      <c:pt idx="97">
                        <c:v>445944</c:v>
                      </c:pt>
                      <c:pt idx="98">
                        <c:v>447902</c:v>
                      </c:pt>
                      <c:pt idx="99">
                        <c:v>468301</c:v>
                      </c:pt>
                      <c:pt idx="100">
                        <c:v>146834</c:v>
                      </c:pt>
                      <c:pt idx="101">
                        <c:v>254347</c:v>
                      </c:pt>
                      <c:pt idx="102">
                        <c:v>122732</c:v>
                      </c:pt>
                      <c:pt idx="103">
                        <c:v>298421</c:v>
                      </c:pt>
                      <c:pt idx="104">
                        <c:v>315305</c:v>
                      </c:pt>
                      <c:pt idx="105">
                        <c:v>389810</c:v>
                      </c:pt>
                      <c:pt idx="106">
                        <c:v>226002</c:v>
                      </c:pt>
                      <c:pt idx="107">
                        <c:v>198278</c:v>
                      </c:pt>
                      <c:pt idx="108">
                        <c:v>287574</c:v>
                      </c:pt>
                      <c:pt idx="109">
                        <c:v>449994</c:v>
                      </c:pt>
                      <c:pt idx="110">
                        <c:v>434883</c:v>
                      </c:pt>
                      <c:pt idx="111">
                        <c:v>188655</c:v>
                      </c:pt>
                      <c:pt idx="112">
                        <c:v>186454</c:v>
                      </c:pt>
                      <c:pt idx="113">
                        <c:v>318779</c:v>
                      </c:pt>
                      <c:pt idx="114">
                        <c:v>434047</c:v>
                      </c:pt>
                      <c:pt idx="115">
                        <c:v>392355</c:v>
                      </c:pt>
                      <c:pt idx="116">
                        <c:v>268516</c:v>
                      </c:pt>
                      <c:pt idx="117">
                        <c:v>64906</c:v>
                      </c:pt>
                      <c:pt idx="118">
                        <c:v>476486</c:v>
                      </c:pt>
                      <c:pt idx="119">
                        <c:v>309772</c:v>
                      </c:pt>
                      <c:pt idx="120">
                        <c:v>258287</c:v>
                      </c:pt>
                      <c:pt idx="121">
                        <c:v>240550</c:v>
                      </c:pt>
                      <c:pt idx="122">
                        <c:v>439080</c:v>
                      </c:pt>
                      <c:pt idx="123">
                        <c:v>87305</c:v>
                      </c:pt>
                      <c:pt idx="124">
                        <c:v>487523</c:v>
                      </c:pt>
                      <c:pt idx="125">
                        <c:v>88455</c:v>
                      </c:pt>
                      <c:pt idx="126">
                        <c:v>309904</c:v>
                      </c:pt>
                      <c:pt idx="127">
                        <c:v>20607</c:v>
                      </c:pt>
                      <c:pt idx="128">
                        <c:v>327183</c:v>
                      </c:pt>
                      <c:pt idx="129">
                        <c:v>81119</c:v>
                      </c:pt>
                      <c:pt idx="130">
                        <c:v>274831</c:v>
                      </c:pt>
                      <c:pt idx="131">
                        <c:v>371156</c:v>
                      </c:pt>
                      <c:pt idx="132">
                        <c:v>487896</c:v>
                      </c:pt>
                      <c:pt idx="133">
                        <c:v>124404</c:v>
                      </c:pt>
                      <c:pt idx="134">
                        <c:v>262569</c:v>
                      </c:pt>
                      <c:pt idx="135">
                        <c:v>177554</c:v>
                      </c:pt>
                      <c:pt idx="136">
                        <c:v>126582</c:v>
                      </c:pt>
                      <c:pt idx="137">
                        <c:v>145608</c:v>
                      </c:pt>
                      <c:pt idx="138">
                        <c:v>317007</c:v>
                      </c:pt>
                      <c:pt idx="139">
                        <c:v>466575</c:v>
                      </c:pt>
                      <c:pt idx="140">
                        <c:v>12471</c:v>
                      </c:pt>
                      <c:pt idx="141">
                        <c:v>12447</c:v>
                      </c:pt>
                      <c:pt idx="142">
                        <c:v>211090</c:v>
                      </c:pt>
                      <c:pt idx="143">
                        <c:v>198350</c:v>
                      </c:pt>
                      <c:pt idx="144">
                        <c:v>29589</c:v>
                      </c:pt>
                      <c:pt idx="145">
                        <c:v>142507</c:v>
                      </c:pt>
                      <c:pt idx="146">
                        <c:v>333851</c:v>
                      </c:pt>
                      <c:pt idx="147">
                        <c:v>487289</c:v>
                      </c:pt>
                      <c:pt idx="148">
                        <c:v>484364</c:v>
                      </c:pt>
                      <c:pt idx="149">
                        <c:v>456298</c:v>
                      </c:pt>
                      <c:pt idx="150">
                        <c:v>395536</c:v>
                      </c:pt>
                      <c:pt idx="151">
                        <c:v>413878</c:v>
                      </c:pt>
                      <c:pt idx="152">
                        <c:v>382851</c:v>
                      </c:pt>
                      <c:pt idx="153">
                        <c:v>426184</c:v>
                      </c:pt>
                      <c:pt idx="154">
                        <c:v>113678</c:v>
                      </c:pt>
                      <c:pt idx="155">
                        <c:v>233694</c:v>
                      </c:pt>
                      <c:pt idx="156">
                        <c:v>156683</c:v>
                      </c:pt>
                      <c:pt idx="157">
                        <c:v>306564</c:v>
                      </c:pt>
                      <c:pt idx="158">
                        <c:v>62499</c:v>
                      </c:pt>
                      <c:pt idx="159">
                        <c:v>320650</c:v>
                      </c:pt>
                      <c:pt idx="160">
                        <c:v>102042</c:v>
                      </c:pt>
                      <c:pt idx="161">
                        <c:v>87443</c:v>
                      </c:pt>
                      <c:pt idx="162">
                        <c:v>239044</c:v>
                      </c:pt>
                      <c:pt idx="163">
                        <c:v>370971</c:v>
                      </c:pt>
                      <c:pt idx="164">
                        <c:v>64583</c:v>
                      </c:pt>
                      <c:pt idx="165">
                        <c:v>119934</c:v>
                      </c:pt>
                      <c:pt idx="166">
                        <c:v>63177</c:v>
                      </c:pt>
                      <c:pt idx="167">
                        <c:v>94360</c:v>
                      </c:pt>
                      <c:pt idx="168">
                        <c:v>117767</c:v>
                      </c:pt>
                      <c:pt idx="169">
                        <c:v>199178</c:v>
                      </c:pt>
                      <c:pt idx="170">
                        <c:v>256910</c:v>
                      </c:pt>
                      <c:pt idx="171">
                        <c:v>305827</c:v>
                      </c:pt>
                      <c:pt idx="172">
                        <c:v>258944</c:v>
                      </c:pt>
                      <c:pt idx="173">
                        <c:v>121091</c:v>
                      </c:pt>
                      <c:pt idx="174">
                        <c:v>301695</c:v>
                      </c:pt>
                      <c:pt idx="175">
                        <c:v>62535</c:v>
                      </c:pt>
                      <c:pt idx="176">
                        <c:v>221274</c:v>
                      </c:pt>
                      <c:pt idx="177">
                        <c:v>451894</c:v>
                      </c:pt>
                      <c:pt idx="178">
                        <c:v>488901</c:v>
                      </c:pt>
                      <c:pt idx="179">
                        <c:v>25177</c:v>
                      </c:pt>
                      <c:pt idx="180">
                        <c:v>136845</c:v>
                      </c:pt>
                      <c:pt idx="181">
                        <c:v>95410</c:v>
                      </c:pt>
                      <c:pt idx="182">
                        <c:v>14437</c:v>
                      </c:pt>
                      <c:pt idx="183">
                        <c:v>336949</c:v>
                      </c:pt>
                      <c:pt idx="184">
                        <c:v>461669</c:v>
                      </c:pt>
                      <c:pt idx="185">
                        <c:v>270766</c:v>
                      </c:pt>
                      <c:pt idx="186">
                        <c:v>485280</c:v>
                      </c:pt>
                      <c:pt idx="187">
                        <c:v>105980</c:v>
                      </c:pt>
                      <c:pt idx="188">
                        <c:v>464239</c:v>
                      </c:pt>
                      <c:pt idx="189">
                        <c:v>224534</c:v>
                      </c:pt>
                      <c:pt idx="190">
                        <c:v>98397</c:v>
                      </c:pt>
                      <c:pt idx="191">
                        <c:v>17380</c:v>
                      </c:pt>
                      <c:pt idx="192">
                        <c:v>441931</c:v>
                      </c:pt>
                      <c:pt idx="193">
                        <c:v>435726</c:v>
                      </c:pt>
                      <c:pt idx="194">
                        <c:v>290354</c:v>
                      </c:pt>
                      <c:pt idx="195">
                        <c:v>369525</c:v>
                      </c:pt>
                      <c:pt idx="196">
                        <c:v>270958</c:v>
                      </c:pt>
                      <c:pt idx="197">
                        <c:v>11435</c:v>
                      </c:pt>
                      <c:pt idx="198">
                        <c:v>148477</c:v>
                      </c:pt>
                      <c:pt idx="199">
                        <c:v>82558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B-8A7F-4AB1-BF3C-4921E1EC52E2}"/>
                  </c:ext>
                </c:extLst>
              </c15:ser>
            </c15:filteredScatterSeries>
          </c:ext>
        </c:extLst>
      </c:scatterChart>
      <c:valAx>
        <c:axId val="214061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19487"/>
        <c:crosses val="autoZero"/>
        <c:crossBetween val="midCat"/>
      </c:valAx>
      <c:valAx>
        <c:axId val="21406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1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2122490464269524"/>
          <c:y val="9.3743320765686061E-2"/>
          <c:w val="0.1612172240846132"/>
          <c:h val="4.5806509528328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1005840</xdr:colOff>
      <xdr:row>3</xdr:row>
      <xdr:rowOff>83820</xdr:rowOff>
    </xdr:from>
    <xdr:to>
      <xdr:col>18</xdr:col>
      <xdr:colOff>83820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95DE1-2B30-4E68-ABC8-7B0DEC34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274320</xdr:colOff>
      <xdr:row>11</xdr:row>
      <xdr:rowOff>167640</xdr:rowOff>
    </xdr:from>
    <xdr:ext cx="7526740" cy="9689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70D9A2-A051-98AC-E88F-94D4F769B45D}"/>
            </a:ext>
          </a:extLst>
        </xdr:cNvPr>
        <xdr:cNvSpPr txBox="1"/>
      </xdr:nvSpPr>
      <xdr:spPr>
        <a:xfrm>
          <a:off x="6484620" y="2179320"/>
          <a:ext cx="7526740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>
            <a:buFont typeface="Arial" panose="020B0604020202020204" pitchFamily="34" charset="0"/>
            <a:buNone/>
          </a:pPr>
          <a:r>
            <a:rPr lang="en-IN" sz="1400" b="1"/>
            <a:t>Insights :</a:t>
          </a:r>
        </a:p>
        <a:p>
          <a:pPr marL="0" indent="0">
            <a:buFont typeface="Arial" panose="020B0604020202020204" pitchFamily="34" charset="0"/>
            <a:buNone/>
          </a:pPr>
          <a:endParaRPr lang="en-IN" sz="1400" b="1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Campaign had the highest ROI is </a:t>
          </a:r>
          <a:r>
            <a:rPr lang="en-IN" sz="1400" b="1"/>
            <a:t>DailyWellness </a:t>
          </a:r>
          <a:r>
            <a:rPr lang="en-IN" sz="1400"/>
            <a:t>in terms of engagement vs. budget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 b="1" baseline="0"/>
            <a:t>FestiveRadiance</a:t>
          </a:r>
          <a:r>
            <a:rPr lang="en-IN" sz="1400" baseline="0"/>
            <a:t> </a:t>
          </a:r>
          <a:r>
            <a:rPr lang="en-IN" sz="1400"/>
            <a:t>campaign had the strongest follower growth impact as the Engagment rate is high</a:t>
          </a:r>
          <a:r>
            <a:rPr lang="en-IN" sz="1400" baseline="0"/>
            <a:t> </a:t>
          </a:r>
          <a:endParaRPr lang="en-IN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b770aaa4e78a79f/Desktop/Social_Media_Analytics_Project.xlsx" TargetMode="External"/><Relationship Id="rId1" Type="http://schemas.openxmlformats.org/officeDocument/2006/relationships/externalLinkPath" Target="/9b770aaa4e78a79f/Desktop/Social_Media_Analytics_Proje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b770aaa4e78a79f/Desktop/Social_Media_Analytics_Project.xlsx#BgEIDA4ADAMGBAcBBAQECw=41.0" TargetMode="External"/><Relationship Id="rId1" Type="http://schemas.openxmlformats.org/officeDocument/2006/relationships/externalLinkPath" Target="/9b770aaa4e78a79f/Desktop/Social_Media_Analytics_Project.xlsx#BgEIDA4ADAMGBAcBBAQECw=41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erage Clicks per Hashtag"/>
      <sheetName val="Engagement by Platform &amp; Conten"/>
      <sheetName val="Top 10 posts"/>
      <sheetName val="Platform Analysis"/>
      <sheetName val="Follower Growth by Platform"/>
      <sheetName val="Engagement_vs_AdSpend"/>
      <sheetName val="Pivot_Engagement_AdSpend"/>
      <sheetName val="Pivot_Hashtag_Frequency"/>
      <sheetName val="Avg_Performance_Hashtag"/>
      <sheetName val="ContentType_Platform Analysis"/>
      <sheetName val="Follower_Analysis"/>
      <sheetName val="AdSpend_vs_Followers"/>
      <sheetName val="Cleaned Posts"/>
      <sheetName val="Posts"/>
      <sheetName val="Engagement Summary"/>
      <sheetName val="Campaign Metadata"/>
      <sheetName val="Campaign Performance Summary"/>
      <sheetName val="Dashboard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Platform</v>
          </cell>
        </row>
        <row r="4">
          <cell r="B4" t="str">
            <v>Facebook</v>
          </cell>
          <cell r="C4">
            <v>1312</v>
          </cell>
          <cell r="D4">
            <v>310</v>
          </cell>
          <cell r="E4">
            <v>42654</v>
          </cell>
          <cell r="F4">
            <v>4.9800000000000004</v>
          </cell>
          <cell r="G4">
            <v>9566</v>
          </cell>
        </row>
        <row r="5">
          <cell r="B5" t="str">
            <v>Facebook</v>
          </cell>
          <cell r="C5">
            <v>1697</v>
          </cell>
          <cell r="D5">
            <v>414</v>
          </cell>
          <cell r="E5">
            <v>316555</v>
          </cell>
          <cell r="F5">
            <v>2.37</v>
          </cell>
          <cell r="G5">
            <v>7924</v>
          </cell>
        </row>
        <row r="6">
          <cell r="B6" t="str">
            <v>Facebook</v>
          </cell>
          <cell r="C6">
            <v>1753</v>
          </cell>
          <cell r="D6">
            <v>371</v>
          </cell>
          <cell r="E6">
            <v>169496</v>
          </cell>
          <cell r="F6">
            <v>8.11</v>
          </cell>
          <cell r="G6">
            <v>46670</v>
          </cell>
        </row>
        <row r="7">
          <cell r="B7" t="str">
            <v>Facebook</v>
          </cell>
          <cell r="C7">
            <v>1779</v>
          </cell>
          <cell r="D7">
            <v>109</v>
          </cell>
          <cell r="E7">
            <v>26295</v>
          </cell>
          <cell r="F7">
            <v>9.1199999999999992</v>
          </cell>
          <cell r="G7">
            <v>30635</v>
          </cell>
        </row>
        <row r="8">
          <cell r="B8" t="str">
            <v>Facebook</v>
          </cell>
          <cell r="C8">
            <v>505</v>
          </cell>
          <cell r="D8">
            <v>441</v>
          </cell>
          <cell r="E8">
            <v>220020</v>
          </cell>
          <cell r="F8">
            <v>4.4800000000000004</v>
          </cell>
          <cell r="G8">
            <v>42307</v>
          </cell>
        </row>
        <row r="9">
          <cell r="B9" t="str">
            <v>Facebook</v>
          </cell>
          <cell r="C9">
            <v>350</v>
          </cell>
          <cell r="D9">
            <v>41</v>
          </cell>
          <cell r="E9">
            <v>251694</v>
          </cell>
          <cell r="F9">
            <v>1.91</v>
          </cell>
          <cell r="G9">
            <v>38610</v>
          </cell>
        </row>
        <row r="10">
          <cell r="B10" t="str">
            <v>Facebook</v>
          </cell>
          <cell r="C10">
            <v>170</v>
          </cell>
          <cell r="D10">
            <v>334</v>
          </cell>
          <cell r="E10">
            <v>334626</v>
          </cell>
          <cell r="F10">
            <v>6.44</v>
          </cell>
          <cell r="G10">
            <v>43420</v>
          </cell>
        </row>
        <row r="11">
          <cell r="B11" t="str">
            <v>Facebook</v>
          </cell>
          <cell r="C11">
            <v>1391</v>
          </cell>
          <cell r="D11">
            <v>430</v>
          </cell>
          <cell r="E11">
            <v>295032</v>
          </cell>
          <cell r="F11">
            <v>7.86</v>
          </cell>
          <cell r="G11">
            <v>26067</v>
          </cell>
        </row>
        <row r="12">
          <cell r="B12" t="str">
            <v>Facebook</v>
          </cell>
          <cell r="C12">
            <v>160</v>
          </cell>
          <cell r="D12">
            <v>478</v>
          </cell>
          <cell r="E12">
            <v>435034</v>
          </cell>
          <cell r="F12">
            <v>7.73</v>
          </cell>
          <cell r="G12">
            <v>4839</v>
          </cell>
        </row>
        <row r="13">
          <cell r="B13" t="str">
            <v>Facebook</v>
          </cell>
          <cell r="C13">
            <v>214</v>
          </cell>
          <cell r="D13">
            <v>411</v>
          </cell>
          <cell r="E13">
            <v>125034</v>
          </cell>
          <cell r="F13">
            <v>6.11</v>
          </cell>
          <cell r="G13">
            <v>26455</v>
          </cell>
        </row>
        <row r="14">
          <cell r="B14" t="str">
            <v>Facebook</v>
          </cell>
          <cell r="C14">
            <v>1534</v>
          </cell>
          <cell r="D14">
            <v>200</v>
          </cell>
          <cell r="E14">
            <v>307612</v>
          </cell>
          <cell r="F14">
            <v>6.01</v>
          </cell>
          <cell r="G14">
            <v>37903</v>
          </cell>
        </row>
        <row r="15">
          <cell r="B15" t="str">
            <v>Facebook</v>
          </cell>
          <cell r="C15">
            <v>1078</v>
          </cell>
          <cell r="D15">
            <v>20</v>
          </cell>
          <cell r="E15">
            <v>183924</v>
          </cell>
          <cell r="F15">
            <v>8.84</v>
          </cell>
          <cell r="G15">
            <v>14203</v>
          </cell>
        </row>
        <row r="16">
          <cell r="B16" t="str">
            <v>Facebook</v>
          </cell>
          <cell r="C16">
            <v>248</v>
          </cell>
          <cell r="D16">
            <v>211</v>
          </cell>
          <cell r="E16">
            <v>379380</v>
          </cell>
          <cell r="F16">
            <v>9.0399999999999991</v>
          </cell>
          <cell r="G16">
            <v>26925</v>
          </cell>
        </row>
        <row r="17">
          <cell r="B17" t="str">
            <v>Facebook</v>
          </cell>
          <cell r="C17">
            <v>1520</v>
          </cell>
          <cell r="D17">
            <v>475</v>
          </cell>
          <cell r="E17">
            <v>496982</v>
          </cell>
          <cell r="F17">
            <v>6.41</v>
          </cell>
          <cell r="G17">
            <v>24384</v>
          </cell>
        </row>
        <row r="18">
          <cell r="B18" t="str">
            <v>Facebook</v>
          </cell>
          <cell r="C18">
            <v>1842</v>
          </cell>
          <cell r="D18">
            <v>414</v>
          </cell>
          <cell r="E18">
            <v>307524</v>
          </cell>
          <cell r="F18">
            <v>1.76</v>
          </cell>
          <cell r="G18">
            <v>40478</v>
          </cell>
        </row>
        <row r="19">
          <cell r="B19" t="str">
            <v>Facebook</v>
          </cell>
          <cell r="C19">
            <v>443</v>
          </cell>
          <cell r="D19">
            <v>345</v>
          </cell>
          <cell r="E19">
            <v>474162</v>
          </cell>
          <cell r="F19">
            <v>9.1999999999999993</v>
          </cell>
          <cell r="G19">
            <v>47462</v>
          </cell>
        </row>
        <row r="20">
          <cell r="B20" t="str">
            <v>Facebook</v>
          </cell>
          <cell r="C20">
            <v>198</v>
          </cell>
          <cell r="D20">
            <v>217</v>
          </cell>
          <cell r="E20">
            <v>239753</v>
          </cell>
          <cell r="F20">
            <v>7.36</v>
          </cell>
          <cell r="G20">
            <v>11901</v>
          </cell>
        </row>
        <row r="21">
          <cell r="B21" t="str">
            <v>Facebook</v>
          </cell>
          <cell r="C21">
            <v>250</v>
          </cell>
          <cell r="D21">
            <v>429</v>
          </cell>
          <cell r="E21">
            <v>453423</v>
          </cell>
          <cell r="F21">
            <v>1.77</v>
          </cell>
          <cell r="G21">
            <v>2315</v>
          </cell>
        </row>
        <row r="22">
          <cell r="B22" t="str">
            <v>Facebook</v>
          </cell>
          <cell r="C22">
            <v>1929</v>
          </cell>
          <cell r="D22">
            <v>267</v>
          </cell>
          <cell r="E22">
            <v>379363</v>
          </cell>
          <cell r="F22">
            <v>1.75</v>
          </cell>
          <cell r="G22">
            <v>43836</v>
          </cell>
        </row>
        <row r="23">
          <cell r="B23" t="str">
            <v>Facebook</v>
          </cell>
          <cell r="C23">
            <v>643</v>
          </cell>
          <cell r="D23">
            <v>358</v>
          </cell>
          <cell r="E23">
            <v>157599</v>
          </cell>
          <cell r="F23">
            <v>3.88</v>
          </cell>
          <cell r="G23">
            <v>7285</v>
          </cell>
        </row>
        <row r="24">
          <cell r="B24" t="str">
            <v>Facebook</v>
          </cell>
          <cell r="C24">
            <v>508</v>
          </cell>
          <cell r="D24">
            <v>69</v>
          </cell>
          <cell r="E24">
            <v>23492</v>
          </cell>
          <cell r="F24">
            <v>3.16</v>
          </cell>
          <cell r="G24">
            <v>42824</v>
          </cell>
        </row>
        <row r="25">
          <cell r="B25" t="str">
            <v>Facebook</v>
          </cell>
          <cell r="C25">
            <v>859</v>
          </cell>
          <cell r="D25">
            <v>473</v>
          </cell>
          <cell r="E25">
            <v>209987</v>
          </cell>
          <cell r="F25">
            <v>4.46</v>
          </cell>
          <cell r="G25">
            <v>30214</v>
          </cell>
        </row>
        <row r="26">
          <cell r="B26" t="str">
            <v>Facebook</v>
          </cell>
          <cell r="C26">
            <v>947</v>
          </cell>
          <cell r="D26">
            <v>407</v>
          </cell>
          <cell r="E26">
            <v>319186</v>
          </cell>
          <cell r="F26">
            <v>3.32</v>
          </cell>
          <cell r="G26">
            <v>4996</v>
          </cell>
        </row>
        <row r="27">
          <cell r="B27" t="str">
            <v>Facebook</v>
          </cell>
          <cell r="C27">
            <v>171</v>
          </cell>
          <cell r="D27">
            <v>277</v>
          </cell>
          <cell r="E27">
            <v>309483</v>
          </cell>
          <cell r="F27">
            <v>8.6999999999999993</v>
          </cell>
          <cell r="G27">
            <v>38452</v>
          </cell>
        </row>
        <row r="28">
          <cell r="B28" t="str">
            <v>Facebook</v>
          </cell>
          <cell r="C28">
            <v>513</v>
          </cell>
          <cell r="D28">
            <v>441</v>
          </cell>
          <cell r="E28">
            <v>338847</v>
          </cell>
          <cell r="F28">
            <v>2.68</v>
          </cell>
          <cell r="G28">
            <v>39997</v>
          </cell>
        </row>
        <row r="29">
          <cell r="B29" t="str">
            <v>Facebook</v>
          </cell>
          <cell r="C29">
            <v>1710</v>
          </cell>
          <cell r="D29">
            <v>378</v>
          </cell>
          <cell r="E29">
            <v>336661</v>
          </cell>
          <cell r="F29">
            <v>6.2</v>
          </cell>
          <cell r="G29">
            <v>28498</v>
          </cell>
        </row>
        <row r="30">
          <cell r="B30" t="str">
            <v>Facebook</v>
          </cell>
          <cell r="C30">
            <v>1902</v>
          </cell>
          <cell r="D30">
            <v>196</v>
          </cell>
          <cell r="E30">
            <v>470269</v>
          </cell>
          <cell r="F30">
            <v>4.79</v>
          </cell>
          <cell r="G30">
            <v>26103</v>
          </cell>
        </row>
        <row r="31">
          <cell r="B31" t="str">
            <v>Facebook</v>
          </cell>
          <cell r="C31">
            <v>1514</v>
          </cell>
          <cell r="D31">
            <v>141</v>
          </cell>
          <cell r="E31">
            <v>35842</v>
          </cell>
          <cell r="F31">
            <v>7.47</v>
          </cell>
          <cell r="G31">
            <v>18601</v>
          </cell>
        </row>
        <row r="32">
          <cell r="B32" t="str">
            <v>Facebook</v>
          </cell>
          <cell r="C32">
            <v>1623</v>
          </cell>
          <cell r="D32">
            <v>246</v>
          </cell>
          <cell r="E32">
            <v>415815</v>
          </cell>
          <cell r="F32">
            <v>8.11</v>
          </cell>
          <cell r="G32">
            <v>18656</v>
          </cell>
        </row>
        <row r="33">
          <cell r="B33" t="str">
            <v>Facebook</v>
          </cell>
          <cell r="C33">
            <v>1155</v>
          </cell>
          <cell r="D33">
            <v>425</v>
          </cell>
          <cell r="E33">
            <v>93347</v>
          </cell>
          <cell r="F33">
            <v>2.02</v>
          </cell>
          <cell r="G33">
            <v>47502</v>
          </cell>
        </row>
        <row r="34">
          <cell r="B34" t="str">
            <v>Facebook</v>
          </cell>
          <cell r="C34">
            <v>1980</v>
          </cell>
          <cell r="D34">
            <v>204</v>
          </cell>
          <cell r="E34">
            <v>379431</v>
          </cell>
          <cell r="F34">
            <v>3.09</v>
          </cell>
          <cell r="G34">
            <v>25140</v>
          </cell>
        </row>
        <row r="35">
          <cell r="B35" t="str">
            <v>Facebook</v>
          </cell>
          <cell r="C35">
            <v>816</v>
          </cell>
          <cell r="D35">
            <v>196</v>
          </cell>
          <cell r="E35">
            <v>95728</v>
          </cell>
          <cell r="F35">
            <v>8.1999999999999993</v>
          </cell>
          <cell r="G35">
            <v>17951</v>
          </cell>
        </row>
        <row r="36">
          <cell r="B36" t="str">
            <v>Facebook</v>
          </cell>
          <cell r="C36">
            <v>651</v>
          </cell>
          <cell r="D36">
            <v>353</v>
          </cell>
          <cell r="E36">
            <v>224699</v>
          </cell>
          <cell r="F36">
            <v>5.61</v>
          </cell>
          <cell r="G36">
            <v>45708</v>
          </cell>
        </row>
        <row r="37">
          <cell r="B37" t="str">
            <v>Facebook</v>
          </cell>
          <cell r="C37">
            <v>663</v>
          </cell>
          <cell r="D37">
            <v>236</v>
          </cell>
          <cell r="E37">
            <v>479490</v>
          </cell>
          <cell r="F37">
            <v>4.51</v>
          </cell>
          <cell r="G37">
            <v>23853</v>
          </cell>
        </row>
        <row r="38">
          <cell r="B38" t="str">
            <v>Facebook</v>
          </cell>
          <cell r="C38">
            <v>1249</v>
          </cell>
          <cell r="D38">
            <v>351</v>
          </cell>
          <cell r="E38">
            <v>321307</v>
          </cell>
          <cell r="F38">
            <v>6.37</v>
          </cell>
          <cell r="G38">
            <v>20560</v>
          </cell>
        </row>
        <row r="39">
          <cell r="B39" t="str">
            <v>Facebook</v>
          </cell>
          <cell r="C39">
            <v>1159</v>
          </cell>
          <cell r="D39">
            <v>411</v>
          </cell>
          <cell r="E39">
            <v>135987</v>
          </cell>
          <cell r="F39">
            <v>8.6999999999999993</v>
          </cell>
          <cell r="G39">
            <v>40323</v>
          </cell>
        </row>
        <row r="40">
          <cell r="B40" t="str">
            <v>Facebook</v>
          </cell>
          <cell r="C40">
            <v>1294</v>
          </cell>
          <cell r="D40">
            <v>382</v>
          </cell>
          <cell r="E40">
            <v>309914</v>
          </cell>
          <cell r="F40">
            <v>8.0299999999999994</v>
          </cell>
          <cell r="G40">
            <v>23489</v>
          </cell>
        </row>
        <row r="41">
          <cell r="B41" t="str">
            <v>Facebook</v>
          </cell>
          <cell r="C41">
            <v>1895</v>
          </cell>
          <cell r="D41">
            <v>305</v>
          </cell>
          <cell r="E41">
            <v>104967</v>
          </cell>
          <cell r="F41">
            <v>3.85</v>
          </cell>
          <cell r="G41">
            <v>31853</v>
          </cell>
        </row>
        <row r="42">
          <cell r="B42" t="str">
            <v>Facebook</v>
          </cell>
          <cell r="C42">
            <v>1884</v>
          </cell>
          <cell r="D42">
            <v>177</v>
          </cell>
          <cell r="E42">
            <v>230448</v>
          </cell>
          <cell r="F42">
            <v>7.8</v>
          </cell>
          <cell r="G42">
            <v>22713</v>
          </cell>
        </row>
        <row r="43">
          <cell r="B43" t="str">
            <v>Facebook</v>
          </cell>
          <cell r="C43">
            <v>345</v>
          </cell>
          <cell r="D43">
            <v>464</v>
          </cell>
          <cell r="E43">
            <v>366881</v>
          </cell>
          <cell r="F43">
            <v>4.55</v>
          </cell>
          <cell r="G43">
            <v>20553</v>
          </cell>
        </row>
        <row r="44">
          <cell r="B44" t="str">
            <v>Facebook</v>
          </cell>
          <cell r="C44">
            <v>1098</v>
          </cell>
          <cell r="D44">
            <v>190</v>
          </cell>
          <cell r="E44">
            <v>340842</v>
          </cell>
          <cell r="F44">
            <v>9.39</v>
          </cell>
          <cell r="G44">
            <v>21539</v>
          </cell>
        </row>
        <row r="45">
          <cell r="B45" t="str">
            <v>Facebook</v>
          </cell>
          <cell r="C45">
            <v>1358</v>
          </cell>
          <cell r="D45">
            <v>242</v>
          </cell>
          <cell r="E45">
            <v>342129</v>
          </cell>
          <cell r="F45">
            <v>4.9400000000000004</v>
          </cell>
          <cell r="G45">
            <v>29116</v>
          </cell>
        </row>
        <row r="46">
          <cell r="B46" t="str">
            <v>Facebook</v>
          </cell>
          <cell r="C46">
            <v>609</v>
          </cell>
          <cell r="D46">
            <v>135</v>
          </cell>
          <cell r="E46">
            <v>373606</v>
          </cell>
          <cell r="F46">
            <v>8.52</v>
          </cell>
          <cell r="G46">
            <v>21453</v>
          </cell>
        </row>
        <row r="47">
          <cell r="B47" t="str">
            <v>Facebook</v>
          </cell>
          <cell r="C47">
            <v>988</v>
          </cell>
          <cell r="D47">
            <v>474</v>
          </cell>
          <cell r="E47">
            <v>370070</v>
          </cell>
          <cell r="F47">
            <v>9.4600000000000009</v>
          </cell>
          <cell r="G47">
            <v>23461</v>
          </cell>
        </row>
        <row r="48">
          <cell r="B48" t="str">
            <v>Facebook</v>
          </cell>
          <cell r="C48">
            <v>1307</v>
          </cell>
          <cell r="D48">
            <v>278</v>
          </cell>
          <cell r="E48">
            <v>98596</v>
          </cell>
          <cell r="F48">
            <v>2.4900000000000002</v>
          </cell>
          <cell r="G48">
            <v>47603</v>
          </cell>
        </row>
        <row r="49">
          <cell r="B49" t="str">
            <v>Facebook</v>
          </cell>
          <cell r="C49">
            <v>198</v>
          </cell>
          <cell r="D49">
            <v>373</v>
          </cell>
          <cell r="E49">
            <v>70707</v>
          </cell>
          <cell r="F49">
            <v>4.83</v>
          </cell>
          <cell r="G49">
            <v>25920</v>
          </cell>
        </row>
        <row r="50">
          <cell r="B50" t="str">
            <v>Facebook</v>
          </cell>
          <cell r="C50">
            <v>1375</v>
          </cell>
          <cell r="D50">
            <v>330</v>
          </cell>
          <cell r="E50">
            <v>377382</v>
          </cell>
          <cell r="F50">
            <v>2.6</v>
          </cell>
          <cell r="G50">
            <v>7875</v>
          </cell>
        </row>
        <row r="51">
          <cell r="B51" t="str">
            <v>Facebook</v>
          </cell>
          <cell r="C51">
            <v>833</v>
          </cell>
          <cell r="D51">
            <v>380</v>
          </cell>
          <cell r="E51">
            <v>224830</v>
          </cell>
          <cell r="F51">
            <v>3.86</v>
          </cell>
          <cell r="G51">
            <v>3582</v>
          </cell>
        </row>
        <row r="52">
          <cell r="B52" t="str">
            <v>Facebook</v>
          </cell>
          <cell r="C52">
            <v>405</v>
          </cell>
          <cell r="D52">
            <v>66</v>
          </cell>
          <cell r="E52">
            <v>418696</v>
          </cell>
          <cell r="F52">
            <v>5.59</v>
          </cell>
          <cell r="G52">
            <v>48419</v>
          </cell>
        </row>
        <row r="53">
          <cell r="B53" t="str">
            <v>Facebook</v>
          </cell>
          <cell r="C53">
            <v>837</v>
          </cell>
          <cell r="D53">
            <v>430</v>
          </cell>
          <cell r="E53">
            <v>364820</v>
          </cell>
          <cell r="F53">
            <v>4</v>
          </cell>
          <cell r="G53">
            <v>49400</v>
          </cell>
        </row>
        <row r="54">
          <cell r="B54" t="str">
            <v>Instagram</v>
          </cell>
          <cell r="C54">
            <v>1135</v>
          </cell>
          <cell r="D54">
            <v>88</v>
          </cell>
          <cell r="E54">
            <v>344084</v>
          </cell>
          <cell r="F54">
            <v>8.06</v>
          </cell>
          <cell r="G54">
            <v>5904</v>
          </cell>
        </row>
        <row r="55">
          <cell r="B55" t="str">
            <v>Instagram</v>
          </cell>
          <cell r="C55">
            <v>656</v>
          </cell>
          <cell r="D55">
            <v>139</v>
          </cell>
          <cell r="E55">
            <v>49157</v>
          </cell>
          <cell r="F55">
            <v>9.0500000000000007</v>
          </cell>
          <cell r="G55">
            <v>9920</v>
          </cell>
        </row>
        <row r="56">
          <cell r="B56" t="str">
            <v>Instagram</v>
          </cell>
          <cell r="C56">
            <v>1048</v>
          </cell>
          <cell r="D56">
            <v>155</v>
          </cell>
          <cell r="E56">
            <v>456946</v>
          </cell>
          <cell r="F56">
            <v>2.46</v>
          </cell>
          <cell r="G56">
            <v>11329</v>
          </cell>
        </row>
        <row r="57">
          <cell r="B57" t="str">
            <v>Instagram</v>
          </cell>
          <cell r="C57">
            <v>911</v>
          </cell>
          <cell r="D57">
            <v>282</v>
          </cell>
          <cell r="E57">
            <v>35664</v>
          </cell>
          <cell r="F57">
            <v>6.92</v>
          </cell>
          <cell r="G57">
            <v>18050</v>
          </cell>
        </row>
        <row r="58">
          <cell r="B58" t="str">
            <v>Instagram</v>
          </cell>
          <cell r="C58">
            <v>226</v>
          </cell>
          <cell r="D58">
            <v>445</v>
          </cell>
          <cell r="E58">
            <v>419447</v>
          </cell>
          <cell r="F58">
            <v>9.36</v>
          </cell>
          <cell r="G58">
            <v>9566</v>
          </cell>
        </row>
        <row r="59">
          <cell r="B59" t="str">
            <v>Instagram</v>
          </cell>
          <cell r="C59">
            <v>1757</v>
          </cell>
          <cell r="D59">
            <v>85</v>
          </cell>
          <cell r="E59">
            <v>58223</v>
          </cell>
          <cell r="F59">
            <v>8.74</v>
          </cell>
          <cell r="G59">
            <v>22728</v>
          </cell>
        </row>
        <row r="60">
          <cell r="B60" t="str">
            <v>Instagram</v>
          </cell>
          <cell r="C60">
            <v>1960</v>
          </cell>
          <cell r="D60">
            <v>115</v>
          </cell>
          <cell r="E60">
            <v>154169</v>
          </cell>
          <cell r="F60">
            <v>3.74</v>
          </cell>
          <cell r="G60">
            <v>10740</v>
          </cell>
        </row>
        <row r="61">
          <cell r="B61" t="str">
            <v>Instagram</v>
          </cell>
          <cell r="C61">
            <v>508</v>
          </cell>
          <cell r="D61">
            <v>349</v>
          </cell>
          <cell r="E61">
            <v>473812</v>
          </cell>
          <cell r="F61">
            <v>7.88</v>
          </cell>
          <cell r="G61">
            <v>17328</v>
          </cell>
        </row>
        <row r="62">
          <cell r="B62" t="str">
            <v>Instagram</v>
          </cell>
          <cell r="C62">
            <v>653</v>
          </cell>
          <cell r="D62">
            <v>112</v>
          </cell>
          <cell r="E62">
            <v>23664</v>
          </cell>
          <cell r="F62">
            <v>4.05</v>
          </cell>
          <cell r="G62">
            <v>15353</v>
          </cell>
        </row>
        <row r="63">
          <cell r="B63" t="str">
            <v>Instagram</v>
          </cell>
          <cell r="C63">
            <v>645</v>
          </cell>
          <cell r="D63">
            <v>293</v>
          </cell>
          <cell r="E63">
            <v>437968</v>
          </cell>
          <cell r="F63">
            <v>7.83</v>
          </cell>
          <cell r="G63">
            <v>49303</v>
          </cell>
        </row>
        <row r="64">
          <cell r="B64" t="str">
            <v>Instagram</v>
          </cell>
          <cell r="C64">
            <v>1528</v>
          </cell>
          <cell r="D64">
            <v>203</v>
          </cell>
          <cell r="E64">
            <v>489188</v>
          </cell>
          <cell r="F64">
            <v>6.23</v>
          </cell>
          <cell r="G64">
            <v>47101</v>
          </cell>
        </row>
        <row r="65">
          <cell r="B65" t="str">
            <v>Instagram</v>
          </cell>
          <cell r="C65">
            <v>215</v>
          </cell>
          <cell r="D65">
            <v>139</v>
          </cell>
          <cell r="E65">
            <v>325444</v>
          </cell>
          <cell r="F65">
            <v>3.25</v>
          </cell>
          <cell r="G65">
            <v>35501</v>
          </cell>
        </row>
        <row r="66">
          <cell r="B66" t="str">
            <v>Instagram</v>
          </cell>
          <cell r="C66">
            <v>1685</v>
          </cell>
          <cell r="D66">
            <v>76</v>
          </cell>
          <cell r="E66">
            <v>453799</v>
          </cell>
          <cell r="F66">
            <v>5.71</v>
          </cell>
          <cell r="G66">
            <v>24913</v>
          </cell>
        </row>
        <row r="67">
          <cell r="B67" t="str">
            <v>Instagram</v>
          </cell>
          <cell r="C67">
            <v>1429</v>
          </cell>
          <cell r="D67">
            <v>182</v>
          </cell>
          <cell r="E67">
            <v>101332</v>
          </cell>
          <cell r="F67">
            <v>7.16</v>
          </cell>
          <cell r="G67">
            <v>37829</v>
          </cell>
        </row>
        <row r="68">
          <cell r="B68" t="str">
            <v>Instagram</v>
          </cell>
          <cell r="C68">
            <v>1592</v>
          </cell>
          <cell r="D68">
            <v>20</v>
          </cell>
          <cell r="E68">
            <v>378054</v>
          </cell>
          <cell r="F68">
            <v>9.09</v>
          </cell>
          <cell r="G68">
            <v>26663</v>
          </cell>
        </row>
        <row r="69">
          <cell r="B69" t="str">
            <v>Instagram</v>
          </cell>
          <cell r="C69">
            <v>778</v>
          </cell>
          <cell r="D69">
            <v>401</v>
          </cell>
          <cell r="E69">
            <v>50793</v>
          </cell>
          <cell r="F69">
            <v>3.4</v>
          </cell>
          <cell r="G69">
            <v>21939</v>
          </cell>
        </row>
        <row r="70">
          <cell r="B70" t="str">
            <v>Instagram</v>
          </cell>
          <cell r="C70">
            <v>817</v>
          </cell>
          <cell r="D70">
            <v>151</v>
          </cell>
          <cell r="E70">
            <v>422625</v>
          </cell>
          <cell r="F70">
            <v>2.36</v>
          </cell>
          <cell r="G70">
            <v>1083</v>
          </cell>
        </row>
        <row r="71">
          <cell r="B71" t="str">
            <v>Instagram</v>
          </cell>
          <cell r="C71">
            <v>1433</v>
          </cell>
          <cell r="D71">
            <v>408</v>
          </cell>
          <cell r="E71">
            <v>370269</v>
          </cell>
          <cell r="F71">
            <v>3.3</v>
          </cell>
          <cell r="G71">
            <v>30575</v>
          </cell>
        </row>
        <row r="72">
          <cell r="B72" t="str">
            <v>Instagram</v>
          </cell>
          <cell r="C72">
            <v>1939</v>
          </cell>
          <cell r="D72">
            <v>67</v>
          </cell>
          <cell r="E72">
            <v>187183</v>
          </cell>
          <cell r="F72">
            <v>6.25</v>
          </cell>
          <cell r="G72">
            <v>41215</v>
          </cell>
        </row>
        <row r="73">
          <cell r="B73" t="str">
            <v>Instagram</v>
          </cell>
          <cell r="C73">
            <v>1527</v>
          </cell>
          <cell r="D73">
            <v>303</v>
          </cell>
          <cell r="E73">
            <v>388555</v>
          </cell>
          <cell r="F73">
            <v>8.9</v>
          </cell>
          <cell r="G73">
            <v>36397</v>
          </cell>
        </row>
        <row r="74">
          <cell r="B74" t="str">
            <v>Instagram</v>
          </cell>
          <cell r="C74">
            <v>703</v>
          </cell>
          <cell r="D74">
            <v>441</v>
          </cell>
          <cell r="E74">
            <v>357089</v>
          </cell>
          <cell r="F74">
            <v>6.5</v>
          </cell>
          <cell r="G74">
            <v>32478</v>
          </cell>
        </row>
        <row r="75">
          <cell r="B75" t="str">
            <v>Instagram</v>
          </cell>
          <cell r="C75">
            <v>642</v>
          </cell>
          <cell r="D75">
            <v>66</v>
          </cell>
          <cell r="E75">
            <v>346522</v>
          </cell>
          <cell r="F75">
            <v>5.85</v>
          </cell>
          <cell r="G75">
            <v>13116</v>
          </cell>
        </row>
        <row r="76">
          <cell r="B76" t="str">
            <v>Instagram</v>
          </cell>
          <cell r="C76">
            <v>1466</v>
          </cell>
          <cell r="D76">
            <v>69</v>
          </cell>
          <cell r="E76">
            <v>54935</v>
          </cell>
          <cell r="F76">
            <v>6.85</v>
          </cell>
          <cell r="G76">
            <v>36484</v>
          </cell>
        </row>
        <row r="77">
          <cell r="B77" t="str">
            <v>Instagram</v>
          </cell>
          <cell r="C77">
            <v>1075</v>
          </cell>
          <cell r="D77">
            <v>173</v>
          </cell>
          <cell r="E77">
            <v>51395</v>
          </cell>
          <cell r="F77">
            <v>4.66</v>
          </cell>
          <cell r="G77">
            <v>47812</v>
          </cell>
        </row>
        <row r="78">
          <cell r="B78" t="str">
            <v>Instagram</v>
          </cell>
          <cell r="C78">
            <v>187</v>
          </cell>
          <cell r="D78">
            <v>236</v>
          </cell>
          <cell r="E78">
            <v>51087</v>
          </cell>
          <cell r="F78">
            <v>9.41</v>
          </cell>
          <cell r="G78">
            <v>29533</v>
          </cell>
        </row>
        <row r="79">
          <cell r="B79" t="str">
            <v>Instagram</v>
          </cell>
          <cell r="C79">
            <v>1854</v>
          </cell>
          <cell r="D79">
            <v>161</v>
          </cell>
          <cell r="E79">
            <v>282466</v>
          </cell>
          <cell r="F79">
            <v>5.17</v>
          </cell>
          <cell r="G79">
            <v>1810</v>
          </cell>
        </row>
        <row r="80">
          <cell r="B80" t="str">
            <v>Instagram</v>
          </cell>
          <cell r="C80">
            <v>1696</v>
          </cell>
          <cell r="D80">
            <v>71</v>
          </cell>
          <cell r="E80">
            <v>421957</v>
          </cell>
          <cell r="F80">
            <v>3.79</v>
          </cell>
          <cell r="G80">
            <v>36103</v>
          </cell>
        </row>
        <row r="81">
          <cell r="B81" t="str">
            <v>Instagram</v>
          </cell>
          <cell r="C81">
            <v>1494</v>
          </cell>
          <cell r="D81">
            <v>375</v>
          </cell>
          <cell r="E81">
            <v>220616</v>
          </cell>
          <cell r="F81">
            <v>1.81</v>
          </cell>
          <cell r="G81">
            <v>22724</v>
          </cell>
        </row>
        <row r="82">
          <cell r="B82" t="str">
            <v>Instagram</v>
          </cell>
          <cell r="C82">
            <v>1502</v>
          </cell>
          <cell r="D82">
            <v>70</v>
          </cell>
          <cell r="E82">
            <v>465553</v>
          </cell>
          <cell r="F82">
            <v>3.32</v>
          </cell>
          <cell r="G82">
            <v>20692</v>
          </cell>
        </row>
        <row r="83">
          <cell r="B83" t="str">
            <v>Instagram</v>
          </cell>
          <cell r="C83">
            <v>1092</v>
          </cell>
          <cell r="D83">
            <v>408</v>
          </cell>
          <cell r="E83">
            <v>280795</v>
          </cell>
          <cell r="F83">
            <v>8.44</v>
          </cell>
          <cell r="G83">
            <v>4683</v>
          </cell>
        </row>
        <row r="84">
          <cell r="B84" t="str">
            <v>Instagram</v>
          </cell>
          <cell r="C84">
            <v>1814</v>
          </cell>
          <cell r="D84">
            <v>49</v>
          </cell>
          <cell r="E84">
            <v>140804</v>
          </cell>
          <cell r="F84">
            <v>1.76</v>
          </cell>
          <cell r="G84">
            <v>4313</v>
          </cell>
        </row>
        <row r="85">
          <cell r="B85" t="str">
            <v>Instagram</v>
          </cell>
          <cell r="C85">
            <v>1013</v>
          </cell>
          <cell r="D85">
            <v>110</v>
          </cell>
          <cell r="E85">
            <v>466382</v>
          </cell>
          <cell r="F85">
            <v>5.3</v>
          </cell>
          <cell r="G85">
            <v>37132</v>
          </cell>
        </row>
        <row r="86">
          <cell r="B86" t="str">
            <v>Instagram</v>
          </cell>
          <cell r="C86">
            <v>1855</v>
          </cell>
          <cell r="D86">
            <v>133</v>
          </cell>
          <cell r="E86">
            <v>349413</v>
          </cell>
          <cell r="F86">
            <v>3.3</v>
          </cell>
          <cell r="G86">
            <v>14548</v>
          </cell>
        </row>
        <row r="87">
          <cell r="B87" t="str">
            <v>Instagram</v>
          </cell>
          <cell r="C87">
            <v>1748</v>
          </cell>
          <cell r="D87">
            <v>176</v>
          </cell>
          <cell r="E87">
            <v>383681</v>
          </cell>
          <cell r="F87">
            <v>9.24</v>
          </cell>
          <cell r="G87">
            <v>43122</v>
          </cell>
        </row>
        <row r="88">
          <cell r="B88" t="str">
            <v>Instagram</v>
          </cell>
          <cell r="C88">
            <v>115</v>
          </cell>
          <cell r="D88">
            <v>281</v>
          </cell>
          <cell r="E88">
            <v>357265</v>
          </cell>
          <cell r="F88">
            <v>9.23</v>
          </cell>
          <cell r="G88">
            <v>25525</v>
          </cell>
        </row>
        <row r="89">
          <cell r="B89" t="str">
            <v>Instagram</v>
          </cell>
          <cell r="C89">
            <v>1556</v>
          </cell>
          <cell r="D89">
            <v>476</v>
          </cell>
          <cell r="E89">
            <v>351556</v>
          </cell>
          <cell r="F89">
            <v>3.89</v>
          </cell>
          <cell r="G89">
            <v>10825</v>
          </cell>
        </row>
        <row r="90">
          <cell r="B90" t="str">
            <v>Instagram</v>
          </cell>
          <cell r="C90">
            <v>1957</v>
          </cell>
          <cell r="D90">
            <v>234</v>
          </cell>
          <cell r="E90">
            <v>222126</v>
          </cell>
          <cell r="F90">
            <v>4.6100000000000003</v>
          </cell>
          <cell r="G90">
            <v>3314</v>
          </cell>
        </row>
        <row r="91">
          <cell r="B91" t="str">
            <v>Instagram</v>
          </cell>
          <cell r="C91">
            <v>1138</v>
          </cell>
          <cell r="D91">
            <v>173</v>
          </cell>
          <cell r="E91">
            <v>453243</v>
          </cell>
          <cell r="F91">
            <v>2.86</v>
          </cell>
          <cell r="G91">
            <v>44097</v>
          </cell>
        </row>
        <row r="92">
          <cell r="B92" t="str">
            <v>Instagram</v>
          </cell>
          <cell r="C92">
            <v>1440</v>
          </cell>
          <cell r="D92">
            <v>65</v>
          </cell>
          <cell r="E92">
            <v>126524</v>
          </cell>
          <cell r="F92">
            <v>4.34</v>
          </cell>
          <cell r="G92">
            <v>49772</v>
          </cell>
        </row>
        <row r="93">
          <cell r="B93" t="str">
            <v>Instagram</v>
          </cell>
          <cell r="C93">
            <v>1371</v>
          </cell>
          <cell r="D93">
            <v>56</v>
          </cell>
          <cell r="E93">
            <v>257579</v>
          </cell>
          <cell r="F93">
            <v>8.6199999999999992</v>
          </cell>
          <cell r="G93">
            <v>33799</v>
          </cell>
        </row>
        <row r="94">
          <cell r="B94" t="str">
            <v>Instagram</v>
          </cell>
          <cell r="C94">
            <v>393</v>
          </cell>
          <cell r="D94">
            <v>181</v>
          </cell>
          <cell r="E94">
            <v>462142</v>
          </cell>
          <cell r="F94">
            <v>7.23</v>
          </cell>
          <cell r="G94">
            <v>6296</v>
          </cell>
        </row>
        <row r="95">
          <cell r="B95" t="str">
            <v>Instagram</v>
          </cell>
          <cell r="C95">
            <v>1102</v>
          </cell>
          <cell r="D95">
            <v>422</v>
          </cell>
          <cell r="E95">
            <v>410330</v>
          </cell>
          <cell r="F95">
            <v>7.74</v>
          </cell>
          <cell r="G95">
            <v>9480</v>
          </cell>
        </row>
        <row r="96">
          <cell r="B96" t="str">
            <v>Instagram</v>
          </cell>
          <cell r="C96">
            <v>490</v>
          </cell>
          <cell r="D96">
            <v>29</v>
          </cell>
          <cell r="E96">
            <v>364810</v>
          </cell>
          <cell r="F96">
            <v>1.53</v>
          </cell>
          <cell r="G96">
            <v>49077</v>
          </cell>
        </row>
        <row r="97">
          <cell r="B97" t="str">
            <v>Instagram</v>
          </cell>
          <cell r="C97">
            <v>1033</v>
          </cell>
          <cell r="D97">
            <v>392</v>
          </cell>
          <cell r="E97">
            <v>282780</v>
          </cell>
          <cell r="F97">
            <v>6.27</v>
          </cell>
          <cell r="G97">
            <v>23140</v>
          </cell>
        </row>
        <row r="98">
          <cell r="B98" t="str">
            <v>Instagram</v>
          </cell>
          <cell r="C98">
            <v>559</v>
          </cell>
          <cell r="D98">
            <v>392</v>
          </cell>
          <cell r="E98">
            <v>78789</v>
          </cell>
          <cell r="F98">
            <v>3.19</v>
          </cell>
          <cell r="G98">
            <v>2436</v>
          </cell>
        </row>
        <row r="99">
          <cell r="B99" t="str">
            <v>Instagram</v>
          </cell>
          <cell r="C99">
            <v>198</v>
          </cell>
          <cell r="D99">
            <v>358</v>
          </cell>
          <cell r="E99">
            <v>66682</v>
          </cell>
          <cell r="F99">
            <v>6.73</v>
          </cell>
          <cell r="G99">
            <v>2293</v>
          </cell>
        </row>
        <row r="100">
          <cell r="B100" t="str">
            <v>Instagram</v>
          </cell>
          <cell r="C100">
            <v>961</v>
          </cell>
          <cell r="D100">
            <v>358</v>
          </cell>
          <cell r="E100">
            <v>62942</v>
          </cell>
          <cell r="F100">
            <v>6.8</v>
          </cell>
          <cell r="G100">
            <v>18693</v>
          </cell>
        </row>
        <row r="101">
          <cell r="B101" t="str">
            <v>Instagram</v>
          </cell>
          <cell r="C101">
            <v>1693</v>
          </cell>
          <cell r="D101">
            <v>154</v>
          </cell>
          <cell r="E101">
            <v>445944</v>
          </cell>
          <cell r="F101">
            <v>5.69</v>
          </cell>
          <cell r="G101">
            <v>14216</v>
          </cell>
        </row>
        <row r="102">
          <cell r="B102" t="str">
            <v>Instagram</v>
          </cell>
          <cell r="C102">
            <v>1957</v>
          </cell>
          <cell r="D102">
            <v>76</v>
          </cell>
          <cell r="E102">
            <v>447902</v>
          </cell>
          <cell r="F102">
            <v>6.09</v>
          </cell>
          <cell r="G102">
            <v>33381</v>
          </cell>
        </row>
        <row r="103">
          <cell r="B103" t="str">
            <v>Instagram</v>
          </cell>
          <cell r="C103">
            <v>1765</v>
          </cell>
          <cell r="D103">
            <v>109</v>
          </cell>
          <cell r="E103">
            <v>468301</v>
          </cell>
          <cell r="F103">
            <v>1.82</v>
          </cell>
          <cell r="G103">
            <v>20042</v>
          </cell>
        </row>
        <row r="104">
          <cell r="B104" t="str">
            <v>Twitter</v>
          </cell>
          <cell r="C104">
            <v>584</v>
          </cell>
          <cell r="D104">
            <v>169</v>
          </cell>
          <cell r="E104">
            <v>146834</v>
          </cell>
          <cell r="F104">
            <v>8.31</v>
          </cell>
          <cell r="G104">
            <v>26752</v>
          </cell>
        </row>
        <row r="105">
          <cell r="B105" t="str">
            <v>Twitter</v>
          </cell>
          <cell r="C105">
            <v>436</v>
          </cell>
          <cell r="D105">
            <v>250</v>
          </cell>
          <cell r="E105">
            <v>254347</v>
          </cell>
          <cell r="F105">
            <v>4.01</v>
          </cell>
          <cell r="G105">
            <v>8912</v>
          </cell>
        </row>
        <row r="106">
          <cell r="B106" t="str">
            <v>Twitter</v>
          </cell>
          <cell r="C106">
            <v>1335</v>
          </cell>
          <cell r="D106">
            <v>40</v>
          </cell>
          <cell r="E106">
            <v>122732</v>
          </cell>
          <cell r="F106">
            <v>8.19</v>
          </cell>
          <cell r="G106">
            <v>22482</v>
          </cell>
        </row>
        <row r="107">
          <cell r="B107" t="str">
            <v>Twitter</v>
          </cell>
          <cell r="C107">
            <v>1238</v>
          </cell>
          <cell r="D107">
            <v>403</v>
          </cell>
          <cell r="E107">
            <v>298421</v>
          </cell>
          <cell r="F107">
            <v>3.5</v>
          </cell>
          <cell r="G107">
            <v>31280</v>
          </cell>
        </row>
        <row r="108">
          <cell r="B108" t="str">
            <v>Twitter</v>
          </cell>
          <cell r="C108">
            <v>1420</v>
          </cell>
          <cell r="D108">
            <v>63</v>
          </cell>
          <cell r="E108">
            <v>315305</v>
          </cell>
          <cell r="F108">
            <v>6.19</v>
          </cell>
          <cell r="G108">
            <v>5914</v>
          </cell>
        </row>
        <row r="109">
          <cell r="B109" t="str">
            <v>Twitter</v>
          </cell>
          <cell r="C109">
            <v>987</v>
          </cell>
          <cell r="D109">
            <v>440</v>
          </cell>
          <cell r="E109">
            <v>389810</v>
          </cell>
          <cell r="F109">
            <v>4.66</v>
          </cell>
          <cell r="G109">
            <v>2932</v>
          </cell>
        </row>
        <row r="110">
          <cell r="B110" t="str">
            <v>Twitter</v>
          </cell>
          <cell r="C110">
            <v>704</v>
          </cell>
          <cell r="D110">
            <v>275</v>
          </cell>
          <cell r="E110">
            <v>226002</v>
          </cell>
          <cell r="F110">
            <v>8.56</v>
          </cell>
          <cell r="G110">
            <v>32393</v>
          </cell>
        </row>
        <row r="111">
          <cell r="B111" t="str">
            <v>Twitter</v>
          </cell>
          <cell r="C111">
            <v>1701</v>
          </cell>
          <cell r="D111">
            <v>385</v>
          </cell>
          <cell r="E111">
            <v>198278</v>
          </cell>
          <cell r="F111">
            <v>5.34</v>
          </cell>
          <cell r="G111">
            <v>32763</v>
          </cell>
        </row>
        <row r="112">
          <cell r="B112" t="str">
            <v>Twitter</v>
          </cell>
          <cell r="C112">
            <v>1756</v>
          </cell>
          <cell r="D112">
            <v>261</v>
          </cell>
          <cell r="E112">
            <v>287574</v>
          </cell>
          <cell r="F112">
            <v>4.3600000000000003</v>
          </cell>
          <cell r="G112">
            <v>39272</v>
          </cell>
        </row>
        <row r="113">
          <cell r="B113" t="str">
            <v>Twitter</v>
          </cell>
          <cell r="C113">
            <v>826</v>
          </cell>
          <cell r="D113">
            <v>498</v>
          </cell>
          <cell r="E113">
            <v>449994</v>
          </cell>
          <cell r="F113">
            <v>9.43</v>
          </cell>
          <cell r="G113">
            <v>12384</v>
          </cell>
        </row>
        <row r="114">
          <cell r="B114" t="str">
            <v>Twitter</v>
          </cell>
          <cell r="C114">
            <v>485</v>
          </cell>
          <cell r="D114">
            <v>448</v>
          </cell>
          <cell r="E114">
            <v>434883</v>
          </cell>
          <cell r="F114">
            <v>8.5500000000000007</v>
          </cell>
          <cell r="G114">
            <v>33258</v>
          </cell>
        </row>
        <row r="115">
          <cell r="B115" t="str">
            <v>Twitter</v>
          </cell>
          <cell r="C115">
            <v>1751</v>
          </cell>
          <cell r="D115">
            <v>86</v>
          </cell>
          <cell r="E115">
            <v>188655</v>
          </cell>
          <cell r="F115">
            <v>7.24</v>
          </cell>
          <cell r="G115">
            <v>22206</v>
          </cell>
        </row>
        <row r="116">
          <cell r="B116" t="str">
            <v>Twitter</v>
          </cell>
          <cell r="C116">
            <v>1300</v>
          </cell>
          <cell r="D116">
            <v>71</v>
          </cell>
          <cell r="E116">
            <v>186454</v>
          </cell>
          <cell r="F116">
            <v>3.91</v>
          </cell>
          <cell r="G116">
            <v>9942</v>
          </cell>
        </row>
        <row r="117">
          <cell r="B117" t="str">
            <v>Twitter</v>
          </cell>
          <cell r="C117">
            <v>557</v>
          </cell>
          <cell r="D117">
            <v>360</v>
          </cell>
          <cell r="E117">
            <v>318779</v>
          </cell>
          <cell r="F117">
            <v>8.02</v>
          </cell>
          <cell r="G117">
            <v>25797</v>
          </cell>
        </row>
        <row r="118">
          <cell r="B118" t="str">
            <v>Twitter</v>
          </cell>
          <cell r="C118">
            <v>751</v>
          </cell>
          <cell r="D118">
            <v>491</v>
          </cell>
          <cell r="E118">
            <v>434047</v>
          </cell>
          <cell r="F118">
            <v>9.24</v>
          </cell>
          <cell r="G118">
            <v>15476</v>
          </cell>
        </row>
        <row r="119">
          <cell r="B119" t="str">
            <v>Twitter</v>
          </cell>
          <cell r="C119">
            <v>1472</v>
          </cell>
          <cell r="D119">
            <v>347</v>
          </cell>
          <cell r="E119">
            <v>392355</v>
          </cell>
          <cell r="F119">
            <v>8.59</v>
          </cell>
          <cell r="G119">
            <v>30270</v>
          </cell>
        </row>
        <row r="120">
          <cell r="B120" t="str">
            <v>Twitter</v>
          </cell>
          <cell r="C120">
            <v>1911</v>
          </cell>
          <cell r="D120">
            <v>231</v>
          </cell>
          <cell r="E120">
            <v>268516</v>
          </cell>
          <cell r="F120">
            <v>8.5500000000000007</v>
          </cell>
          <cell r="G120">
            <v>24018</v>
          </cell>
        </row>
        <row r="121">
          <cell r="B121" t="str">
            <v>Twitter</v>
          </cell>
          <cell r="C121">
            <v>752</v>
          </cell>
          <cell r="D121">
            <v>153</v>
          </cell>
          <cell r="E121">
            <v>64906</v>
          </cell>
          <cell r="F121">
            <v>2.09</v>
          </cell>
          <cell r="G121">
            <v>12148</v>
          </cell>
        </row>
        <row r="122">
          <cell r="B122" t="str">
            <v>Twitter</v>
          </cell>
          <cell r="C122">
            <v>437</v>
          </cell>
          <cell r="D122">
            <v>330</v>
          </cell>
          <cell r="E122">
            <v>476486</v>
          </cell>
          <cell r="F122">
            <v>4.97</v>
          </cell>
          <cell r="G122">
            <v>4509</v>
          </cell>
        </row>
        <row r="123">
          <cell r="B123" t="str">
            <v>Twitter</v>
          </cell>
          <cell r="C123">
            <v>201</v>
          </cell>
          <cell r="D123">
            <v>221</v>
          </cell>
          <cell r="E123">
            <v>309772</v>
          </cell>
          <cell r="F123">
            <v>5.9</v>
          </cell>
          <cell r="G123">
            <v>33174</v>
          </cell>
        </row>
        <row r="124">
          <cell r="B124" t="str">
            <v>Twitter</v>
          </cell>
          <cell r="C124">
            <v>697</v>
          </cell>
          <cell r="D124">
            <v>61</v>
          </cell>
          <cell r="E124">
            <v>258287</v>
          </cell>
          <cell r="F124">
            <v>8.25</v>
          </cell>
          <cell r="G124">
            <v>21208</v>
          </cell>
        </row>
        <row r="125">
          <cell r="B125" t="str">
            <v>Twitter</v>
          </cell>
          <cell r="C125">
            <v>191</v>
          </cell>
          <cell r="D125">
            <v>154</v>
          </cell>
          <cell r="E125">
            <v>240550</v>
          </cell>
          <cell r="F125">
            <v>5.22</v>
          </cell>
          <cell r="G125">
            <v>15827</v>
          </cell>
        </row>
        <row r="126">
          <cell r="B126" t="str">
            <v>Twitter</v>
          </cell>
          <cell r="C126">
            <v>1821</v>
          </cell>
          <cell r="D126">
            <v>218</v>
          </cell>
          <cell r="E126">
            <v>439080</v>
          </cell>
          <cell r="F126">
            <v>5.68</v>
          </cell>
          <cell r="G126">
            <v>36095</v>
          </cell>
        </row>
        <row r="127">
          <cell r="B127" t="str">
            <v>Twitter</v>
          </cell>
          <cell r="C127">
            <v>1487</v>
          </cell>
          <cell r="D127">
            <v>337</v>
          </cell>
          <cell r="E127">
            <v>87305</v>
          </cell>
          <cell r="F127">
            <v>2.46</v>
          </cell>
          <cell r="G127">
            <v>30428</v>
          </cell>
        </row>
        <row r="128">
          <cell r="B128" t="str">
            <v>Twitter</v>
          </cell>
          <cell r="C128">
            <v>628</v>
          </cell>
          <cell r="D128">
            <v>183</v>
          </cell>
          <cell r="E128">
            <v>487523</v>
          </cell>
          <cell r="F128">
            <v>7.32</v>
          </cell>
          <cell r="G128">
            <v>5391</v>
          </cell>
        </row>
        <row r="129">
          <cell r="B129" t="str">
            <v>Twitter</v>
          </cell>
          <cell r="C129">
            <v>330</v>
          </cell>
          <cell r="D129">
            <v>232</v>
          </cell>
          <cell r="E129">
            <v>88455</v>
          </cell>
          <cell r="F129">
            <v>2.69</v>
          </cell>
          <cell r="G129">
            <v>39530</v>
          </cell>
        </row>
        <row r="130">
          <cell r="B130" t="str">
            <v>Twitter</v>
          </cell>
          <cell r="C130">
            <v>1441</v>
          </cell>
          <cell r="D130">
            <v>268</v>
          </cell>
          <cell r="E130">
            <v>309904</v>
          </cell>
          <cell r="F130">
            <v>6.37</v>
          </cell>
          <cell r="G130">
            <v>3455</v>
          </cell>
        </row>
        <row r="131">
          <cell r="B131" t="str">
            <v>Twitter</v>
          </cell>
          <cell r="C131">
            <v>1937</v>
          </cell>
          <cell r="D131">
            <v>210</v>
          </cell>
          <cell r="E131">
            <v>20607</v>
          </cell>
          <cell r="F131">
            <v>4.2</v>
          </cell>
          <cell r="G131">
            <v>20861</v>
          </cell>
        </row>
        <row r="132">
          <cell r="B132" t="str">
            <v>Twitter</v>
          </cell>
          <cell r="C132">
            <v>1592</v>
          </cell>
          <cell r="D132">
            <v>233</v>
          </cell>
          <cell r="E132">
            <v>327183</v>
          </cell>
          <cell r="F132">
            <v>6.66</v>
          </cell>
          <cell r="G132">
            <v>13316</v>
          </cell>
        </row>
        <row r="133">
          <cell r="B133" t="str">
            <v>Twitter</v>
          </cell>
          <cell r="C133">
            <v>1137</v>
          </cell>
          <cell r="D133">
            <v>226</v>
          </cell>
          <cell r="E133">
            <v>81119</v>
          </cell>
          <cell r="F133">
            <v>7.74</v>
          </cell>
          <cell r="G133">
            <v>35359</v>
          </cell>
        </row>
        <row r="134">
          <cell r="B134" t="str">
            <v>Twitter</v>
          </cell>
          <cell r="C134">
            <v>1786</v>
          </cell>
          <cell r="D134">
            <v>257</v>
          </cell>
          <cell r="E134">
            <v>274831</v>
          </cell>
          <cell r="F134">
            <v>4.68</v>
          </cell>
          <cell r="G134">
            <v>9118</v>
          </cell>
        </row>
        <row r="135">
          <cell r="B135" t="str">
            <v>Twitter</v>
          </cell>
          <cell r="C135">
            <v>1633</v>
          </cell>
          <cell r="D135">
            <v>445</v>
          </cell>
          <cell r="E135">
            <v>371156</v>
          </cell>
          <cell r="F135">
            <v>2.2200000000000002</v>
          </cell>
          <cell r="G135">
            <v>2798</v>
          </cell>
        </row>
        <row r="136">
          <cell r="B136" t="str">
            <v>Twitter</v>
          </cell>
          <cell r="C136">
            <v>118</v>
          </cell>
          <cell r="D136">
            <v>262</v>
          </cell>
          <cell r="E136">
            <v>487896</v>
          </cell>
          <cell r="F136">
            <v>2.56</v>
          </cell>
          <cell r="G136">
            <v>12350</v>
          </cell>
        </row>
        <row r="137">
          <cell r="B137" t="str">
            <v>Twitter</v>
          </cell>
          <cell r="C137">
            <v>1040</v>
          </cell>
          <cell r="D137">
            <v>149</v>
          </cell>
          <cell r="E137">
            <v>124404</v>
          </cell>
          <cell r="F137">
            <v>5.23</v>
          </cell>
          <cell r="G137">
            <v>45380</v>
          </cell>
        </row>
        <row r="138">
          <cell r="B138" t="str">
            <v>Twitter</v>
          </cell>
          <cell r="C138">
            <v>1501</v>
          </cell>
          <cell r="D138">
            <v>75</v>
          </cell>
          <cell r="E138">
            <v>262569</v>
          </cell>
          <cell r="F138">
            <v>2.0099999999999998</v>
          </cell>
          <cell r="G138">
            <v>19119</v>
          </cell>
        </row>
        <row r="139">
          <cell r="B139" t="str">
            <v>Twitter</v>
          </cell>
          <cell r="C139">
            <v>927</v>
          </cell>
          <cell r="D139">
            <v>358</v>
          </cell>
          <cell r="E139">
            <v>177554</v>
          </cell>
          <cell r="F139">
            <v>6.95</v>
          </cell>
          <cell r="G139">
            <v>48270</v>
          </cell>
        </row>
        <row r="140">
          <cell r="B140" t="str">
            <v>Twitter</v>
          </cell>
          <cell r="C140">
            <v>1587</v>
          </cell>
          <cell r="D140">
            <v>385</v>
          </cell>
          <cell r="E140">
            <v>126582</v>
          </cell>
          <cell r="F140">
            <v>6.99</v>
          </cell>
          <cell r="G140">
            <v>42832</v>
          </cell>
        </row>
        <row r="141">
          <cell r="B141" t="str">
            <v>Twitter</v>
          </cell>
          <cell r="C141">
            <v>362</v>
          </cell>
          <cell r="D141">
            <v>399</v>
          </cell>
          <cell r="E141">
            <v>145608</v>
          </cell>
          <cell r="F141">
            <v>7.3</v>
          </cell>
          <cell r="G141">
            <v>37636</v>
          </cell>
        </row>
        <row r="142">
          <cell r="B142" t="str">
            <v>Twitter</v>
          </cell>
          <cell r="C142">
            <v>861</v>
          </cell>
          <cell r="D142">
            <v>153</v>
          </cell>
          <cell r="E142">
            <v>317007</v>
          </cell>
          <cell r="F142">
            <v>3.85</v>
          </cell>
          <cell r="G142">
            <v>8718</v>
          </cell>
        </row>
        <row r="143">
          <cell r="B143" t="str">
            <v>Twitter</v>
          </cell>
          <cell r="C143">
            <v>946</v>
          </cell>
          <cell r="D143">
            <v>47</v>
          </cell>
          <cell r="E143">
            <v>466575</v>
          </cell>
          <cell r="F143">
            <v>8.33</v>
          </cell>
          <cell r="G143">
            <v>10002</v>
          </cell>
        </row>
        <row r="144">
          <cell r="B144" t="str">
            <v>Twitter</v>
          </cell>
          <cell r="C144">
            <v>1399</v>
          </cell>
          <cell r="D144">
            <v>49</v>
          </cell>
          <cell r="E144">
            <v>12471</v>
          </cell>
          <cell r="F144">
            <v>5.12</v>
          </cell>
          <cell r="G144">
            <v>14722</v>
          </cell>
        </row>
        <row r="145">
          <cell r="B145" t="str">
            <v>Twitter</v>
          </cell>
          <cell r="C145">
            <v>1077</v>
          </cell>
          <cell r="D145">
            <v>216</v>
          </cell>
          <cell r="E145">
            <v>12447</v>
          </cell>
          <cell r="F145">
            <v>1.8</v>
          </cell>
          <cell r="G145">
            <v>14068</v>
          </cell>
        </row>
        <row r="146">
          <cell r="B146" t="str">
            <v>Twitter</v>
          </cell>
          <cell r="C146">
            <v>364</v>
          </cell>
          <cell r="D146">
            <v>72</v>
          </cell>
          <cell r="E146">
            <v>211090</v>
          </cell>
          <cell r="F146">
            <v>5.53</v>
          </cell>
          <cell r="G146">
            <v>21061</v>
          </cell>
        </row>
        <row r="147">
          <cell r="B147" t="str">
            <v>Twitter</v>
          </cell>
          <cell r="C147">
            <v>1946</v>
          </cell>
          <cell r="D147">
            <v>270</v>
          </cell>
          <cell r="E147">
            <v>198350</v>
          </cell>
          <cell r="F147">
            <v>7.5</v>
          </cell>
          <cell r="G147">
            <v>11805</v>
          </cell>
        </row>
        <row r="148">
          <cell r="B148" t="str">
            <v>Twitter</v>
          </cell>
          <cell r="C148">
            <v>1432</v>
          </cell>
          <cell r="D148">
            <v>425</v>
          </cell>
          <cell r="E148">
            <v>29589</v>
          </cell>
          <cell r="F148">
            <v>4.5</v>
          </cell>
          <cell r="G148">
            <v>42964</v>
          </cell>
        </row>
        <row r="149">
          <cell r="B149" t="str">
            <v>Twitter</v>
          </cell>
          <cell r="C149">
            <v>353</v>
          </cell>
          <cell r="D149">
            <v>300</v>
          </cell>
          <cell r="E149">
            <v>142507</v>
          </cell>
          <cell r="F149">
            <v>5.3</v>
          </cell>
          <cell r="G149">
            <v>11035</v>
          </cell>
        </row>
        <row r="150">
          <cell r="B150" t="str">
            <v>Twitter</v>
          </cell>
          <cell r="C150">
            <v>1147</v>
          </cell>
          <cell r="D150">
            <v>388</v>
          </cell>
          <cell r="E150">
            <v>333851</v>
          </cell>
          <cell r="F150">
            <v>2.44</v>
          </cell>
          <cell r="G150">
            <v>8471</v>
          </cell>
        </row>
        <row r="151">
          <cell r="B151" t="str">
            <v>Twitter</v>
          </cell>
          <cell r="C151">
            <v>1222</v>
          </cell>
          <cell r="D151">
            <v>274</v>
          </cell>
          <cell r="E151">
            <v>487289</v>
          </cell>
          <cell r="F151">
            <v>3.16</v>
          </cell>
          <cell r="G151">
            <v>32500</v>
          </cell>
        </row>
        <row r="152">
          <cell r="B152" t="str">
            <v>Twitter</v>
          </cell>
          <cell r="C152">
            <v>1581</v>
          </cell>
          <cell r="D152">
            <v>71</v>
          </cell>
          <cell r="E152">
            <v>484364</v>
          </cell>
          <cell r="F152">
            <v>3.55</v>
          </cell>
          <cell r="G152">
            <v>16149</v>
          </cell>
        </row>
        <row r="153">
          <cell r="B153" t="str">
            <v>Twitter</v>
          </cell>
          <cell r="C153">
            <v>337</v>
          </cell>
          <cell r="D153">
            <v>68</v>
          </cell>
          <cell r="E153">
            <v>456298</v>
          </cell>
          <cell r="F153">
            <v>7.57</v>
          </cell>
          <cell r="G153">
            <v>4007</v>
          </cell>
        </row>
        <row r="154">
          <cell r="B154" t="str">
            <v>YouTube</v>
          </cell>
          <cell r="C154">
            <v>1535</v>
          </cell>
          <cell r="D154">
            <v>445</v>
          </cell>
          <cell r="E154">
            <v>395536</v>
          </cell>
          <cell r="F154">
            <v>4.1100000000000003</v>
          </cell>
          <cell r="G154">
            <v>30671</v>
          </cell>
        </row>
        <row r="155">
          <cell r="B155" t="str">
            <v>YouTube</v>
          </cell>
          <cell r="C155">
            <v>1197</v>
          </cell>
          <cell r="D155">
            <v>203</v>
          </cell>
          <cell r="E155">
            <v>413878</v>
          </cell>
          <cell r="F155">
            <v>3.16</v>
          </cell>
          <cell r="G155">
            <v>21205</v>
          </cell>
        </row>
        <row r="156">
          <cell r="B156" t="str">
            <v>YouTube</v>
          </cell>
          <cell r="C156">
            <v>403</v>
          </cell>
          <cell r="D156">
            <v>66</v>
          </cell>
          <cell r="E156">
            <v>382851</v>
          </cell>
          <cell r="F156">
            <v>3.49</v>
          </cell>
          <cell r="G156">
            <v>24313</v>
          </cell>
        </row>
        <row r="157">
          <cell r="B157" t="str">
            <v>YouTube</v>
          </cell>
          <cell r="C157">
            <v>308</v>
          </cell>
          <cell r="D157">
            <v>431</v>
          </cell>
          <cell r="E157">
            <v>426184</v>
          </cell>
          <cell r="F157">
            <v>2.62</v>
          </cell>
          <cell r="G157">
            <v>1783</v>
          </cell>
        </row>
        <row r="158">
          <cell r="B158" t="str">
            <v>YouTube</v>
          </cell>
          <cell r="C158">
            <v>144</v>
          </cell>
          <cell r="D158">
            <v>53</v>
          </cell>
          <cell r="E158">
            <v>113678</v>
          </cell>
          <cell r="F158">
            <v>8.7200000000000006</v>
          </cell>
          <cell r="G158">
            <v>30060</v>
          </cell>
        </row>
        <row r="159">
          <cell r="B159" t="str">
            <v>YouTube</v>
          </cell>
          <cell r="C159">
            <v>883</v>
          </cell>
          <cell r="D159">
            <v>369</v>
          </cell>
          <cell r="E159">
            <v>233694</v>
          </cell>
          <cell r="F159">
            <v>2.88</v>
          </cell>
          <cell r="G159">
            <v>15071</v>
          </cell>
        </row>
        <row r="160">
          <cell r="B160" t="str">
            <v>YouTube</v>
          </cell>
          <cell r="C160">
            <v>224</v>
          </cell>
          <cell r="D160">
            <v>64</v>
          </cell>
          <cell r="E160">
            <v>156683</v>
          </cell>
          <cell r="F160">
            <v>4.5599999999999996</v>
          </cell>
          <cell r="G160">
            <v>28474</v>
          </cell>
        </row>
        <row r="161">
          <cell r="B161" t="str">
            <v>YouTube</v>
          </cell>
          <cell r="C161">
            <v>804</v>
          </cell>
          <cell r="D161">
            <v>487</v>
          </cell>
          <cell r="E161">
            <v>306564</v>
          </cell>
          <cell r="F161">
            <v>5.52</v>
          </cell>
          <cell r="G161">
            <v>26452</v>
          </cell>
        </row>
        <row r="162">
          <cell r="B162" t="str">
            <v>YouTube</v>
          </cell>
          <cell r="C162">
            <v>576</v>
          </cell>
          <cell r="D162">
            <v>101</v>
          </cell>
          <cell r="E162">
            <v>62499</v>
          </cell>
          <cell r="F162">
            <v>3.48</v>
          </cell>
          <cell r="G162">
            <v>16804</v>
          </cell>
        </row>
        <row r="163">
          <cell r="B163" t="str">
            <v>YouTube</v>
          </cell>
          <cell r="C163">
            <v>460</v>
          </cell>
          <cell r="D163">
            <v>141</v>
          </cell>
          <cell r="E163">
            <v>320650</v>
          </cell>
          <cell r="F163">
            <v>4.04</v>
          </cell>
          <cell r="G163">
            <v>49372</v>
          </cell>
        </row>
        <row r="164">
          <cell r="B164" t="str">
            <v>YouTube</v>
          </cell>
          <cell r="C164">
            <v>1210</v>
          </cell>
          <cell r="D164">
            <v>178</v>
          </cell>
          <cell r="E164">
            <v>102042</v>
          </cell>
          <cell r="F164">
            <v>5.42</v>
          </cell>
          <cell r="G164">
            <v>6915</v>
          </cell>
        </row>
        <row r="165">
          <cell r="B165" t="str">
            <v>YouTube</v>
          </cell>
          <cell r="C165">
            <v>221</v>
          </cell>
          <cell r="D165">
            <v>31</v>
          </cell>
          <cell r="E165">
            <v>87443</v>
          </cell>
          <cell r="F165">
            <v>6.19</v>
          </cell>
          <cell r="G165">
            <v>10283</v>
          </cell>
        </row>
        <row r="166">
          <cell r="B166" t="str">
            <v>YouTube</v>
          </cell>
          <cell r="C166">
            <v>422</v>
          </cell>
          <cell r="D166">
            <v>394</v>
          </cell>
          <cell r="E166">
            <v>239044</v>
          </cell>
          <cell r="F166">
            <v>7.83</v>
          </cell>
          <cell r="G166">
            <v>32929</v>
          </cell>
        </row>
        <row r="167">
          <cell r="B167" t="str">
            <v>YouTube</v>
          </cell>
          <cell r="C167">
            <v>728</v>
          </cell>
          <cell r="D167">
            <v>395</v>
          </cell>
          <cell r="E167">
            <v>370971</v>
          </cell>
          <cell r="F167">
            <v>3.86</v>
          </cell>
          <cell r="G167">
            <v>12646</v>
          </cell>
        </row>
        <row r="168">
          <cell r="B168" t="str">
            <v>YouTube</v>
          </cell>
          <cell r="C168">
            <v>1409</v>
          </cell>
          <cell r="D168">
            <v>309</v>
          </cell>
          <cell r="E168">
            <v>64583</v>
          </cell>
          <cell r="F168">
            <v>8.99</v>
          </cell>
          <cell r="G168">
            <v>10217</v>
          </cell>
        </row>
        <row r="169">
          <cell r="B169" t="str">
            <v>YouTube</v>
          </cell>
          <cell r="C169">
            <v>123</v>
          </cell>
          <cell r="D169">
            <v>155</v>
          </cell>
          <cell r="E169">
            <v>119934</v>
          </cell>
          <cell r="F169">
            <v>3.5</v>
          </cell>
          <cell r="G169">
            <v>5442</v>
          </cell>
        </row>
        <row r="170">
          <cell r="B170" t="str">
            <v>YouTube</v>
          </cell>
          <cell r="C170">
            <v>1218</v>
          </cell>
          <cell r="D170">
            <v>212</v>
          </cell>
          <cell r="E170">
            <v>63177</v>
          </cell>
          <cell r="F170">
            <v>8.1300000000000008</v>
          </cell>
          <cell r="G170">
            <v>38883</v>
          </cell>
        </row>
        <row r="171">
          <cell r="B171" t="str">
            <v>YouTube</v>
          </cell>
          <cell r="C171">
            <v>1918</v>
          </cell>
          <cell r="D171">
            <v>212</v>
          </cell>
          <cell r="E171">
            <v>94360</v>
          </cell>
          <cell r="F171">
            <v>7.36</v>
          </cell>
          <cell r="G171">
            <v>36851</v>
          </cell>
        </row>
        <row r="172">
          <cell r="B172" t="str">
            <v>YouTube</v>
          </cell>
          <cell r="C172">
            <v>307</v>
          </cell>
          <cell r="D172">
            <v>189</v>
          </cell>
          <cell r="E172">
            <v>117767</v>
          </cell>
          <cell r="F172">
            <v>9.3000000000000007</v>
          </cell>
          <cell r="G172">
            <v>27822</v>
          </cell>
        </row>
        <row r="173">
          <cell r="B173" t="str">
            <v>YouTube</v>
          </cell>
          <cell r="C173">
            <v>414</v>
          </cell>
          <cell r="D173">
            <v>47</v>
          </cell>
          <cell r="E173">
            <v>199178</v>
          </cell>
          <cell r="F173">
            <v>1.53</v>
          </cell>
          <cell r="G173">
            <v>6742</v>
          </cell>
        </row>
        <row r="174">
          <cell r="B174" t="str">
            <v>YouTube</v>
          </cell>
          <cell r="C174">
            <v>1707</v>
          </cell>
          <cell r="D174">
            <v>223</v>
          </cell>
          <cell r="E174">
            <v>256910</v>
          </cell>
          <cell r="F174">
            <v>5.41</v>
          </cell>
          <cell r="G174">
            <v>44321</v>
          </cell>
        </row>
        <row r="175">
          <cell r="B175" t="str">
            <v>YouTube</v>
          </cell>
          <cell r="C175">
            <v>1814</v>
          </cell>
          <cell r="D175">
            <v>157</v>
          </cell>
          <cell r="E175">
            <v>305827</v>
          </cell>
          <cell r="F175">
            <v>1.99</v>
          </cell>
          <cell r="G175">
            <v>46643</v>
          </cell>
        </row>
        <row r="176">
          <cell r="B176" t="str">
            <v>YouTube</v>
          </cell>
          <cell r="C176">
            <v>1507</v>
          </cell>
          <cell r="D176">
            <v>463</v>
          </cell>
          <cell r="E176">
            <v>258944</v>
          </cell>
          <cell r="F176">
            <v>6.08</v>
          </cell>
          <cell r="G176">
            <v>16443</v>
          </cell>
        </row>
        <row r="177">
          <cell r="B177" t="str">
            <v>YouTube</v>
          </cell>
          <cell r="C177">
            <v>454</v>
          </cell>
          <cell r="D177">
            <v>105</v>
          </cell>
          <cell r="E177">
            <v>121091</v>
          </cell>
          <cell r="F177">
            <v>7.97</v>
          </cell>
          <cell r="G177">
            <v>9269</v>
          </cell>
        </row>
        <row r="178">
          <cell r="B178" t="str">
            <v>YouTube</v>
          </cell>
          <cell r="C178">
            <v>278</v>
          </cell>
          <cell r="D178">
            <v>218</v>
          </cell>
          <cell r="E178">
            <v>301695</v>
          </cell>
          <cell r="F178">
            <v>4.68</v>
          </cell>
          <cell r="G178">
            <v>22373</v>
          </cell>
        </row>
        <row r="179">
          <cell r="B179" t="str">
            <v>YouTube</v>
          </cell>
          <cell r="C179">
            <v>1293</v>
          </cell>
          <cell r="D179">
            <v>408</v>
          </cell>
          <cell r="E179">
            <v>62535</v>
          </cell>
          <cell r="F179">
            <v>8.9</v>
          </cell>
          <cell r="G179">
            <v>37876</v>
          </cell>
        </row>
        <row r="180">
          <cell r="B180" t="str">
            <v>YouTube</v>
          </cell>
          <cell r="C180">
            <v>452</v>
          </cell>
          <cell r="D180">
            <v>161</v>
          </cell>
          <cell r="E180">
            <v>221274</v>
          </cell>
          <cell r="F180">
            <v>2.65</v>
          </cell>
          <cell r="G180">
            <v>40888</v>
          </cell>
        </row>
        <row r="181">
          <cell r="B181" t="str">
            <v>YouTube</v>
          </cell>
          <cell r="C181">
            <v>736</v>
          </cell>
          <cell r="D181">
            <v>163</v>
          </cell>
          <cell r="E181">
            <v>451894</v>
          </cell>
          <cell r="F181">
            <v>5.43</v>
          </cell>
          <cell r="G181">
            <v>46625</v>
          </cell>
        </row>
        <row r="182">
          <cell r="B182" t="str">
            <v>YouTube</v>
          </cell>
          <cell r="C182">
            <v>1004</v>
          </cell>
          <cell r="D182">
            <v>128</v>
          </cell>
          <cell r="E182">
            <v>488901</v>
          </cell>
          <cell r="F182">
            <v>8.09</v>
          </cell>
          <cell r="G182">
            <v>49558</v>
          </cell>
        </row>
        <row r="183">
          <cell r="B183" t="str">
            <v>YouTube</v>
          </cell>
          <cell r="C183">
            <v>1900</v>
          </cell>
          <cell r="D183">
            <v>311</v>
          </cell>
          <cell r="E183">
            <v>25177</v>
          </cell>
          <cell r="F183">
            <v>2.89</v>
          </cell>
          <cell r="G183">
            <v>14154</v>
          </cell>
        </row>
        <row r="184">
          <cell r="B184" t="str">
            <v>YouTube</v>
          </cell>
          <cell r="C184">
            <v>1495</v>
          </cell>
          <cell r="D184">
            <v>35</v>
          </cell>
          <cell r="E184">
            <v>136845</v>
          </cell>
          <cell r="F184">
            <v>4.4800000000000004</v>
          </cell>
          <cell r="G184">
            <v>39931</v>
          </cell>
        </row>
        <row r="185">
          <cell r="B185" t="str">
            <v>YouTube</v>
          </cell>
          <cell r="C185">
            <v>891</v>
          </cell>
          <cell r="D185">
            <v>45</v>
          </cell>
          <cell r="E185">
            <v>95410</v>
          </cell>
          <cell r="F185">
            <v>8.33</v>
          </cell>
          <cell r="G185">
            <v>15045</v>
          </cell>
        </row>
        <row r="186">
          <cell r="B186" t="str">
            <v>YouTube</v>
          </cell>
          <cell r="C186">
            <v>1331</v>
          </cell>
          <cell r="D186">
            <v>430</v>
          </cell>
          <cell r="E186">
            <v>14437</v>
          </cell>
          <cell r="F186">
            <v>3.29</v>
          </cell>
          <cell r="G186">
            <v>40868</v>
          </cell>
        </row>
        <row r="187">
          <cell r="B187" t="str">
            <v>YouTube</v>
          </cell>
          <cell r="C187">
            <v>1166</v>
          </cell>
          <cell r="D187">
            <v>442</v>
          </cell>
          <cell r="E187">
            <v>336949</v>
          </cell>
          <cell r="F187">
            <v>4.68</v>
          </cell>
          <cell r="G187">
            <v>7705</v>
          </cell>
        </row>
        <row r="188">
          <cell r="B188" t="str">
            <v>YouTube</v>
          </cell>
          <cell r="C188">
            <v>1411</v>
          </cell>
          <cell r="D188">
            <v>186</v>
          </cell>
          <cell r="E188">
            <v>461669</v>
          </cell>
          <cell r="F188">
            <v>3.72</v>
          </cell>
          <cell r="G188">
            <v>43999</v>
          </cell>
        </row>
        <row r="189">
          <cell r="B189" t="str">
            <v>YouTube</v>
          </cell>
          <cell r="C189">
            <v>152</v>
          </cell>
          <cell r="D189">
            <v>355</v>
          </cell>
          <cell r="E189">
            <v>270766</v>
          </cell>
          <cell r="F189">
            <v>9.48</v>
          </cell>
          <cell r="G189">
            <v>18001</v>
          </cell>
        </row>
        <row r="190">
          <cell r="B190" t="str">
            <v>YouTube</v>
          </cell>
          <cell r="C190">
            <v>1707</v>
          </cell>
          <cell r="D190">
            <v>263</v>
          </cell>
          <cell r="E190">
            <v>485280</v>
          </cell>
          <cell r="F190">
            <v>9.0299999999999994</v>
          </cell>
          <cell r="G190">
            <v>24494</v>
          </cell>
        </row>
        <row r="191">
          <cell r="B191" t="str">
            <v>YouTube</v>
          </cell>
          <cell r="C191">
            <v>1662</v>
          </cell>
          <cell r="D191">
            <v>487</v>
          </cell>
          <cell r="E191">
            <v>105980</v>
          </cell>
          <cell r="F191">
            <v>9.08</v>
          </cell>
          <cell r="G191">
            <v>22996</v>
          </cell>
        </row>
        <row r="192">
          <cell r="B192" t="str">
            <v>YouTube</v>
          </cell>
          <cell r="C192">
            <v>1063</v>
          </cell>
          <cell r="D192">
            <v>47</v>
          </cell>
          <cell r="E192">
            <v>464239</v>
          </cell>
          <cell r="F192">
            <v>6.58</v>
          </cell>
          <cell r="G192">
            <v>39031</v>
          </cell>
        </row>
        <row r="193">
          <cell r="B193" t="str">
            <v>YouTube</v>
          </cell>
          <cell r="C193">
            <v>510</v>
          </cell>
          <cell r="D193">
            <v>195</v>
          </cell>
          <cell r="E193">
            <v>224534</v>
          </cell>
          <cell r="F193">
            <v>9.4</v>
          </cell>
          <cell r="G193">
            <v>30987</v>
          </cell>
        </row>
        <row r="194">
          <cell r="B194" t="str">
            <v>YouTube</v>
          </cell>
          <cell r="C194">
            <v>1658</v>
          </cell>
          <cell r="D194">
            <v>416</v>
          </cell>
          <cell r="E194">
            <v>98397</v>
          </cell>
          <cell r="F194">
            <v>6.11</v>
          </cell>
          <cell r="G194">
            <v>11383</v>
          </cell>
        </row>
        <row r="195">
          <cell r="B195" t="str">
            <v>YouTube</v>
          </cell>
          <cell r="C195">
            <v>1596</v>
          </cell>
          <cell r="D195">
            <v>211</v>
          </cell>
          <cell r="E195">
            <v>17380</v>
          </cell>
          <cell r="F195">
            <v>8.64</v>
          </cell>
          <cell r="G195">
            <v>35801</v>
          </cell>
        </row>
        <row r="196">
          <cell r="B196" t="str">
            <v>YouTube</v>
          </cell>
          <cell r="C196">
            <v>442</v>
          </cell>
          <cell r="D196">
            <v>53</v>
          </cell>
          <cell r="E196">
            <v>441931</v>
          </cell>
          <cell r="F196">
            <v>1.87</v>
          </cell>
          <cell r="G196">
            <v>20059</v>
          </cell>
        </row>
        <row r="197">
          <cell r="B197" t="str">
            <v>YouTube</v>
          </cell>
          <cell r="C197">
            <v>1957</v>
          </cell>
          <cell r="D197">
            <v>490</v>
          </cell>
          <cell r="E197">
            <v>435726</v>
          </cell>
          <cell r="F197">
            <v>4.7300000000000004</v>
          </cell>
          <cell r="G197">
            <v>15969</v>
          </cell>
        </row>
        <row r="198">
          <cell r="B198" t="str">
            <v>YouTube</v>
          </cell>
          <cell r="C198">
            <v>623</v>
          </cell>
          <cell r="D198">
            <v>414</v>
          </cell>
          <cell r="E198">
            <v>290354</v>
          </cell>
          <cell r="F198">
            <v>6.49</v>
          </cell>
          <cell r="G198">
            <v>39923</v>
          </cell>
        </row>
        <row r="199">
          <cell r="B199" t="str">
            <v>YouTube</v>
          </cell>
          <cell r="C199">
            <v>520</v>
          </cell>
          <cell r="D199">
            <v>375</v>
          </cell>
          <cell r="E199">
            <v>369525</v>
          </cell>
          <cell r="F199">
            <v>6.54</v>
          </cell>
          <cell r="G199">
            <v>20733</v>
          </cell>
        </row>
        <row r="200">
          <cell r="B200" t="str">
            <v>YouTube</v>
          </cell>
          <cell r="C200">
            <v>1707</v>
          </cell>
          <cell r="D200">
            <v>74</v>
          </cell>
          <cell r="E200">
            <v>270958</v>
          </cell>
          <cell r="F200">
            <v>3.09</v>
          </cell>
          <cell r="G200">
            <v>14090</v>
          </cell>
        </row>
        <row r="201">
          <cell r="B201" t="str">
            <v>YouTube</v>
          </cell>
          <cell r="C201">
            <v>777</v>
          </cell>
          <cell r="D201">
            <v>140</v>
          </cell>
          <cell r="E201">
            <v>11435</v>
          </cell>
          <cell r="F201">
            <v>1.6</v>
          </cell>
          <cell r="G201">
            <v>6832</v>
          </cell>
        </row>
        <row r="202">
          <cell r="B202" t="str">
            <v>YouTube</v>
          </cell>
          <cell r="C202">
            <v>1035</v>
          </cell>
          <cell r="D202">
            <v>171</v>
          </cell>
          <cell r="E202">
            <v>148477</v>
          </cell>
          <cell r="F202">
            <v>5.21</v>
          </cell>
          <cell r="G202">
            <v>7541</v>
          </cell>
        </row>
        <row r="203">
          <cell r="B203" t="str">
            <v>YouTube</v>
          </cell>
          <cell r="C203">
            <v>119</v>
          </cell>
          <cell r="D203">
            <v>456</v>
          </cell>
          <cell r="E203">
            <v>82558</v>
          </cell>
          <cell r="F203">
            <v>6.81</v>
          </cell>
          <cell r="G203">
            <v>12174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I1" t="str">
            <v>Net Followers</v>
          </cell>
        </row>
      </sheetData>
      <sheetData sheetId="15"/>
      <sheetData sheetId="16">
        <row r="1">
          <cell r="D1" t="str">
            <v>Total_Likes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erage Clicks per Hashtag"/>
      <sheetName val="Engagement by Platform &amp; Conten"/>
      <sheetName val="Top 10 posts"/>
      <sheetName val="Platform Analysis"/>
      <sheetName val="Follower Growth by Platform"/>
      <sheetName val="Engagement_vs_AdSpend"/>
      <sheetName val="Pivot_Engagement_AdSpend"/>
      <sheetName val="Pivot_Hashtag_Frequency"/>
      <sheetName val="Avg_Performance_Hashtag"/>
      <sheetName val="ContentType_Platform Analysis"/>
      <sheetName val="Follower_Analysis"/>
      <sheetName val="AdSpend_vs_Followers"/>
      <sheetName val="Cleaned Posts"/>
      <sheetName val="Posts"/>
      <sheetName val="Engagement Summary"/>
      <sheetName val="Campaign Metadata"/>
      <sheetName val="Campaign Performance Summary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9b770aaa4e78a79f/Desktop/Social_Media_Analytic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 uddin" refreshedDate="45904.892692476853" createdVersion="8" refreshedVersion="8" minRefreshableVersion="3" recordCount="200" xr:uid="{1F02D37F-E12B-4088-BC95-6E4D80F4C34F}">
  <cacheSource type="worksheet">
    <worksheetSource name="Table10" r:id="rId2"/>
  </cacheSource>
  <cacheFields count="7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 count="172">
        <n v="8.06"/>
        <n v="4.9800000000000004"/>
        <n v="8.31"/>
        <n v="4.1100000000000003"/>
        <n v="9.0500000000000007"/>
        <n v="2.37"/>
        <n v="4.01"/>
        <n v="3.16"/>
        <n v="2.46"/>
        <n v="8.11"/>
        <n v="8.19"/>
        <n v="3.49"/>
        <n v="6.92"/>
        <n v="9.1199999999999992"/>
        <n v="3.5"/>
        <n v="2.62"/>
        <n v="9.36"/>
        <n v="4.4800000000000004"/>
        <n v="6.19"/>
        <n v="8.7200000000000006"/>
        <n v="8.74"/>
        <n v="1.91"/>
        <n v="4.66"/>
        <n v="2.88"/>
        <n v="3.74"/>
        <n v="6.44"/>
        <n v="8.56"/>
        <n v="4.5599999999999996"/>
        <n v="7.88"/>
        <n v="7.86"/>
        <n v="5.34"/>
        <n v="5.52"/>
        <n v="4.05"/>
        <n v="7.73"/>
        <n v="4.3600000000000003"/>
        <n v="3.48"/>
        <n v="7.83"/>
        <n v="6.11"/>
        <n v="9.43"/>
        <n v="4.04"/>
        <n v="6.23"/>
        <n v="6.01"/>
        <n v="8.5500000000000007"/>
        <n v="5.42"/>
        <n v="3.25"/>
        <n v="8.84"/>
        <n v="7.24"/>
        <n v="5.71"/>
        <n v="9.0399999999999991"/>
        <n v="3.91"/>
        <n v="7.16"/>
        <n v="6.41"/>
        <n v="8.02"/>
        <n v="3.86"/>
        <n v="9.09"/>
        <n v="1.76"/>
        <n v="9.24"/>
        <n v="8.99"/>
        <n v="3.4"/>
        <n v="9.1999999999999993"/>
        <n v="8.59"/>
        <n v="2.36"/>
        <n v="7.36"/>
        <n v="8.1300000000000008"/>
        <n v="3.3"/>
        <n v="1.77"/>
        <n v="2.09"/>
        <n v="6.25"/>
        <n v="1.75"/>
        <n v="4.97"/>
        <n v="9.3000000000000007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6999999999999993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1999999999999993"/>
        <n v="2.2200000000000002"/>
        <n v="8.33"/>
        <n v="5.61"/>
        <n v="2.56"/>
        <n v="3.29"/>
        <n v="4.51"/>
        <n v="5.23"/>
        <n v="9.23"/>
        <n v="2.0099999999999998"/>
        <n v="3.72"/>
        <n v="3.89"/>
        <n v="6.95"/>
        <n v="9.48"/>
        <n v="4.6100000000000003"/>
        <n v="8.0299999999999994"/>
        <n v="6.99"/>
        <n v="9.0299999999999994"/>
        <n v="2.86"/>
        <n v="3.85"/>
        <n v="7.3"/>
        <n v="9.08"/>
        <n v="4.34"/>
        <n v="7.8"/>
        <n v="6.58"/>
        <n v="8.6199999999999992"/>
        <n v="4.55"/>
        <n v="9.4"/>
        <n v="7.23"/>
        <n v="9.39"/>
        <n v="5.12"/>
        <n v="4.9400000000000004"/>
        <n v="1.8"/>
        <n v="8.64"/>
        <n v="8.52"/>
        <n v="5.53"/>
        <n v="1.87"/>
        <n v="6.27"/>
        <n v="9.4600000000000009"/>
        <n v="7.5"/>
        <n v="4.7300000000000004"/>
        <n v="3.19"/>
        <n v="2.4900000000000002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"/>
        <n v="7.57"/>
        <n v="6.81"/>
      </sharedItems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x v="0"/>
    <n v="5904"/>
  </r>
  <r>
    <d v="2024-06-03T00:00:00"/>
    <x v="1"/>
    <n v="1312"/>
    <n v="310"/>
    <n v="42654"/>
    <x v="1"/>
    <n v="9566"/>
  </r>
  <r>
    <d v="2024-06-03T00:00:00"/>
    <x v="2"/>
    <n v="584"/>
    <n v="169"/>
    <n v="146834"/>
    <x v="2"/>
    <n v="26752"/>
  </r>
  <r>
    <d v="2024-06-03T00:00:00"/>
    <x v="3"/>
    <n v="1535"/>
    <n v="445"/>
    <n v="395536"/>
    <x v="3"/>
    <n v="30671"/>
  </r>
  <r>
    <d v="2024-06-10T00:00:00"/>
    <x v="0"/>
    <n v="656"/>
    <n v="139"/>
    <n v="49157"/>
    <x v="4"/>
    <n v="9920"/>
  </r>
  <r>
    <d v="2024-06-10T00:00:00"/>
    <x v="1"/>
    <n v="1697"/>
    <n v="414"/>
    <n v="316555"/>
    <x v="5"/>
    <n v="7924"/>
  </r>
  <r>
    <d v="2024-06-10T00:00:00"/>
    <x v="2"/>
    <n v="436"/>
    <n v="250"/>
    <n v="254347"/>
    <x v="6"/>
    <n v="8912"/>
  </r>
  <r>
    <d v="2024-06-10T00:00:00"/>
    <x v="3"/>
    <n v="1197"/>
    <n v="203"/>
    <n v="413878"/>
    <x v="7"/>
    <n v="21205"/>
  </r>
  <r>
    <d v="2024-06-17T00:00:00"/>
    <x v="0"/>
    <n v="1048"/>
    <n v="155"/>
    <n v="456946"/>
    <x v="8"/>
    <n v="11329"/>
  </r>
  <r>
    <d v="2024-06-17T00:00:00"/>
    <x v="1"/>
    <n v="1753"/>
    <n v="371"/>
    <n v="169496"/>
    <x v="9"/>
    <n v="46670"/>
  </r>
  <r>
    <d v="2024-06-17T00:00:00"/>
    <x v="2"/>
    <n v="1335"/>
    <n v="40"/>
    <n v="122732"/>
    <x v="10"/>
    <n v="22482"/>
  </r>
  <r>
    <d v="2024-06-17T00:00:00"/>
    <x v="3"/>
    <n v="403"/>
    <n v="66"/>
    <n v="382851"/>
    <x v="11"/>
    <n v="24313"/>
  </r>
  <r>
    <d v="2024-06-24T00:00:00"/>
    <x v="0"/>
    <n v="911"/>
    <n v="282"/>
    <n v="35664"/>
    <x v="12"/>
    <n v="18050"/>
  </r>
  <r>
    <d v="2024-06-24T00:00:00"/>
    <x v="1"/>
    <n v="1779"/>
    <n v="109"/>
    <n v="26295"/>
    <x v="13"/>
    <n v="30635"/>
  </r>
  <r>
    <d v="2024-06-24T00:00:00"/>
    <x v="2"/>
    <n v="1238"/>
    <n v="403"/>
    <n v="298421"/>
    <x v="14"/>
    <n v="31280"/>
  </r>
  <r>
    <d v="2024-06-24T00:00:00"/>
    <x v="3"/>
    <n v="308"/>
    <n v="431"/>
    <n v="426184"/>
    <x v="15"/>
    <n v="1783"/>
  </r>
  <r>
    <d v="2024-07-01T00:00:00"/>
    <x v="0"/>
    <n v="226"/>
    <n v="445"/>
    <n v="419447"/>
    <x v="16"/>
    <n v="9566"/>
  </r>
  <r>
    <d v="2024-07-01T00:00:00"/>
    <x v="1"/>
    <n v="505"/>
    <n v="441"/>
    <n v="220020"/>
    <x v="17"/>
    <n v="42307"/>
  </r>
  <r>
    <d v="2024-07-01T00:00:00"/>
    <x v="2"/>
    <n v="1420"/>
    <n v="63"/>
    <n v="315305"/>
    <x v="18"/>
    <n v="5914"/>
  </r>
  <r>
    <d v="2024-07-01T00:00:00"/>
    <x v="3"/>
    <n v="144"/>
    <n v="53"/>
    <n v="113678"/>
    <x v="19"/>
    <n v="30060"/>
  </r>
  <r>
    <d v="2024-07-08T00:00:00"/>
    <x v="0"/>
    <n v="1757"/>
    <n v="85"/>
    <n v="58223"/>
    <x v="20"/>
    <n v="22728"/>
  </r>
  <r>
    <d v="2024-07-08T00:00:00"/>
    <x v="1"/>
    <n v="350"/>
    <n v="41"/>
    <n v="251694"/>
    <x v="21"/>
    <n v="38610"/>
  </r>
  <r>
    <d v="2024-07-08T00:00:00"/>
    <x v="2"/>
    <n v="987"/>
    <n v="440"/>
    <n v="389810"/>
    <x v="22"/>
    <n v="2932"/>
  </r>
  <r>
    <d v="2024-07-08T00:00:00"/>
    <x v="3"/>
    <n v="883"/>
    <n v="369"/>
    <n v="233694"/>
    <x v="23"/>
    <n v="15071"/>
  </r>
  <r>
    <d v="2024-07-15T00:00:00"/>
    <x v="0"/>
    <n v="1960"/>
    <n v="115"/>
    <n v="154169"/>
    <x v="24"/>
    <n v="10740"/>
  </r>
  <r>
    <d v="2024-07-15T00:00:00"/>
    <x v="1"/>
    <n v="170"/>
    <n v="334"/>
    <n v="334626"/>
    <x v="25"/>
    <n v="43420"/>
  </r>
  <r>
    <d v="2024-07-15T00:00:00"/>
    <x v="2"/>
    <n v="704"/>
    <n v="275"/>
    <n v="226002"/>
    <x v="26"/>
    <n v="32393"/>
  </r>
  <r>
    <d v="2024-07-15T00:00:00"/>
    <x v="3"/>
    <n v="224"/>
    <n v="64"/>
    <n v="156683"/>
    <x v="27"/>
    <n v="28474"/>
  </r>
  <r>
    <d v="2024-07-22T00:00:00"/>
    <x v="0"/>
    <n v="508"/>
    <n v="349"/>
    <n v="473812"/>
    <x v="28"/>
    <n v="17328"/>
  </r>
  <r>
    <d v="2024-07-22T00:00:00"/>
    <x v="1"/>
    <n v="1391"/>
    <n v="430"/>
    <n v="295032"/>
    <x v="29"/>
    <n v="26067"/>
  </r>
  <r>
    <d v="2024-07-22T00:00:00"/>
    <x v="2"/>
    <n v="1701"/>
    <n v="385"/>
    <n v="198278"/>
    <x v="30"/>
    <n v="32763"/>
  </r>
  <r>
    <d v="2024-07-22T00:00:00"/>
    <x v="3"/>
    <n v="804"/>
    <n v="487"/>
    <n v="306564"/>
    <x v="31"/>
    <n v="26452"/>
  </r>
  <r>
    <d v="2024-07-29T00:00:00"/>
    <x v="0"/>
    <n v="653"/>
    <n v="112"/>
    <n v="23664"/>
    <x v="32"/>
    <n v="15353"/>
  </r>
  <r>
    <d v="2024-07-29T00:00:00"/>
    <x v="1"/>
    <n v="160"/>
    <n v="478"/>
    <n v="435034"/>
    <x v="33"/>
    <n v="4839"/>
  </r>
  <r>
    <d v="2024-07-29T00:00:00"/>
    <x v="2"/>
    <n v="1756"/>
    <n v="261"/>
    <n v="287574"/>
    <x v="34"/>
    <n v="39272"/>
  </r>
  <r>
    <d v="2024-07-29T00:00:00"/>
    <x v="3"/>
    <n v="576"/>
    <n v="101"/>
    <n v="62499"/>
    <x v="35"/>
    <n v="16804"/>
  </r>
  <r>
    <d v="2024-08-05T00:00:00"/>
    <x v="0"/>
    <n v="645"/>
    <n v="293"/>
    <n v="437968"/>
    <x v="36"/>
    <n v="49303"/>
  </r>
  <r>
    <d v="2024-08-05T00:00:00"/>
    <x v="1"/>
    <n v="214"/>
    <n v="411"/>
    <n v="125034"/>
    <x v="37"/>
    <n v="26455"/>
  </r>
  <r>
    <d v="2024-08-05T00:00:00"/>
    <x v="2"/>
    <n v="826"/>
    <n v="498"/>
    <n v="449994"/>
    <x v="38"/>
    <n v="12384"/>
  </r>
  <r>
    <d v="2024-08-05T00:00:00"/>
    <x v="3"/>
    <n v="460"/>
    <n v="141"/>
    <n v="320650"/>
    <x v="39"/>
    <n v="49372"/>
  </r>
  <r>
    <d v="2024-08-12T00:00:00"/>
    <x v="0"/>
    <n v="1528"/>
    <n v="203"/>
    <n v="489188"/>
    <x v="40"/>
    <n v="47101"/>
  </r>
  <r>
    <d v="2024-08-12T00:00:00"/>
    <x v="1"/>
    <n v="1534"/>
    <n v="200"/>
    <n v="307612"/>
    <x v="41"/>
    <n v="37903"/>
  </r>
  <r>
    <d v="2024-08-12T00:00:00"/>
    <x v="2"/>
    <n v="485"/>
    <n v="448"/>
    <n v="434883"/>
    <x v="42"/>
    <n v="33258"/>
  </r>
  <r>
    <d v="2024-08-12T00:00:00"/>
    <x v="3"/>
    <n v="1210"/>
    <n v="178"/>
    <n v="102042"/>
    <x v="43"/>
    <n v="6915"/>
  </r>
  <r>
    <d v="2024-08-19T00:00:00"/>
    <x v="0"/>
    <n v="215"/>
    <n v="139"/>
    <n v="325444"/>
    <x v="44"/>
    <n v="35501"/>
  </r>
  <r>
    <d v="2024-08-19T00:00:00"/>
    <x v="1"/>
    <n v="1078"/>
    <n v="20"/>
    <n v="183924"/>
    <x v="45"/>
    <n v="14203"/>
  </r>
  <r>
    <d v="2024-08-19T00:00:00"/>
    <x v="2"/>
    <n v="1751"/>
    <n v="86"/>
    <n v="188655"/>
    <x v="46"/>
    <n v="22206"/>
  </r>
  <r>
    <d v="2024-08-19T00:00:00"/>
    <x v="3"/>
    <n v="221"/>
    <n v="31"/>
    <n v="87443"/>
    <x v="18"/>
    <n v="10283"/>
  </r>
  <r>
    <d v="2024-08-26T00:00:00"/>
    <x v="0"/>
    <n v="1685"/>
    <n v="76"/>
    <n v="453799"/>
    <x v="47"/>
    <n v="24913"/>
  </r>
  <r>
    <d v="2024-08-26T00:00:00"/>
    <x v="1"/>
    <n v="248"/>
    <n v="211"/>
    <n v="379380"/>
    <x v="48"/>
    <n v="26925"/>
  </r>
  <r>
    <d v="2024-08-26T00:00:00"/>
    <x v="2"/>
    <n v="1300"/>
    <n v="71"/>
    <n v="186454"/>
    <x v="49"/>
    <n v="9942"/>
  </r>
  <r>
    <d v="2024-08-26T00:00:00"/>
    <x v="3"/>
    <n v="422"/>
    <n v="394"/>
    <n v="239044"/>
    <x v="36"/>
    <n v="32929"/>
  </r>
  <r>
    <d v="2024-09-02T00:00:00"/>
    <x v="0"/>
    <n v="1429"/>
    <n v="182"/>
    <n v="101332"/>
    <x v="50"/>
    <n v="37829"/>
  </r>
  <r>
    <d v="2024-09-02T00:00:00"/>
    <x v="1"/>
    <n v="1520"/>
    <n v="475"/>
    <n v="496982"/>
    <x v="51"/>
    <n v="24384"/>
  </r>
  <r>
    <d v="2024-09-02T00:00:00"/>
    <x v="2"/>
    <n v="557"/>
    <n v="360"/>
    <n v="318779"/>
    <x v="52"/>
    <n v="25797"/>
  </r>
  <r>
    <d v="2024-09-02T00:00:00"/>
    <x v="3"/>
    <n v="728"/>
    <n v="395"/>
    <n v="370971"/>
    <x v="53"/>
    <n v="12646"/>
  </r>
  <r>
    <d v="2024-09-09T00:00:00"/>
    <x v="0"/>
    <n v="1592"/>
    <n v="20"/>
    <n v="378054"/>
    <x v="54"/>
    <n v="26663"/>
  </r>
  <r>
    <d v="2024-09-09T00:00:00"/>
    <x v="1"/>
    <n v="1842"/>
    <n v="414"/>
    <n v="307524"/>
    <x v="55"/>
    <n v="40478"/>
  </r>
  <r>
    <d v="2024-09-09T00:00:00"/>
    <x v="2"/>
    <n v="751"/>
    <n v="491"/>
    <n v="434047"/>
    <x v="56"/>
    <n v="15476"/>
  </r>
  <r>
    <d v="2024-09-09T00:00:00"/>
    <x v="3"/>
    <n v="1409"/>
    <n v="309"/>
    <n v="64583"/>
    <x v="57"/>
    <n v="10217"/>
  </r>
  <r>
    <d v="2024-09-16T00:00:00"/>
    <x v="0"/>
    <n v="778"/>
    <n v="401"/>
    <n v="50793"/>
    <x v="58"/>
    <n v="21939"/>
  </r>
  <r>
    <d v="2024-09-16T00:00:00"/>
    <x v="1"/>
    <n v="443"/>
    <n v="345"/>
    <n v="474162"/>
    <x v="59"/>
    <n v="47462"/>
  </r>
  <r>
    <d v="2024-09-16T00:00:00"/>
    <x v="2"/>
    <n v="1472"/>
    <n v="347"/>
    <n v="392355"/>
    <x v="60"/>
    <n v="30270"/>
  </r>
  <r>
    <d v="2024-09-16T00:00:00"/>
    <x v="3"/>
    <n v="123"/>
    <n v="155"/>
    <n v="119934"/>
    <x v="14"/>
    <n v="5442"/>
  </r>
  <r>
    <d v="2024-09-23T00:00:00"/>
    <x v="0"/>
    <n v="817"/>
    <n v="151"/>
    <n v="422625"/>
    <x v="61"/>
    <n v="1083"/>
  </r>
  <r>
    <d v="2024-09-23T00:00:00"/>
    <x v="1"/>
    <n v="198"/>
    <n v="217"/>
    <n v="239753"/>
    <x v="62"/>
    <n v="11901"/>
  </r>
  <r>
    <d v="2024-09-23T00:00:00"/>
    <x v="2"/>
    <n v="1911"/>
    <n v="231"/>
    <n v="268516"/>
    <x v="42"/>
    <n v="24018"/>
  </r>
  <r>
    <d v="2024-09-23T00:00:00"/>
    <x v="3"/>
    <n v="1218"/>
    <n v="212"/>
    <n v="63177"/>
    <x v="63"/>
    <n v="38883"/>
  </r>
  <r>
    <d v="2024-09-30T00:00:00"/>
    <x v="0"/>
    <n v="1433"/>
    <n v="408"/>
    <n v="370269"/>
    <x v="64"/>
    <n v="30575"/>
  </r>
  <r>
    <d v="2024-09-30T00:00:00"/>
    <x v="1"/>
    <n v="250"/>
    <n v="429"/>
    <n v="453423"/>
    <x v="65"/>
    <n v="2315"/>
  </r>
  <r>
    <d v="2024-09-30T00:00:00"/>
    <x v="2"/>
    <n v="752"/>
    <n v="153"/>
    <n v="64906"/>
    <x v="66"/>
    <n v="12148"/>
  </r>
  <r>
    <d v="2024-09-30T00:00:00"/>
    <x v="3"/>
    <n v="1918"/>
    <n v="212"/>
    <n v="94360"/>
    <x v="62"/>
    <n v="36851"/>
  </r>
  <r>
    <d v="2024-10-07T00:00:00"/>
    <x v="0"/>
    <n v="1939"/>
    <n v="67"/>
    <n v="187183"/>
    <x v="67"/>
    <n v="41215"/>
  </r>
  <r>
    <d v="2024-10-07T00:00:00"/>
    <x v="1"/>
    <n v="1929"/>
    <n v="267"/>
    <n v="379363"/>
    <x v="68"/>
    <n v="43836"/>
  </r>
  <r>
    <d v="2024-10-07T00:00:00"/>
    <x v="2"/>
    <n v="437"/>
    <n v="330"/>
    <n v="476486"/>
    <x v="69"/>
    <n v="4509"/>
  </r>
  <r>
    <d v="2024-10-07T00:00:00"/>
    <x v="3"/>
    <n v="307"/>
    <n v="189"/>
    <n v="117767"/>
    <x v="70"/>
    <n v="27822"/>
  </r>
  <r>
    <d v="2024-10-14T00:00:00"/>
    <x v="0"/>
    <n v="1527"/>
    <n v="303"/>
    <n v="388555"/>
    <x v="71"/>
    <n v="36397"/>
  </r>
  <r>
    <d v="2024-10-14T00:00:00"/>
    <x v="1"/>
    <n v="643"/>
    <n v="358"/>
    <n v="157599"/>
    <x v="72"/>
    <n v="7285"/>
  </r>
  <r>
    <d v="2024-10-14T00:00:00"/>
    <x v="2"/>
    <n v="201"/>
    <n v="221"/>
    <n v="309772"/>
    <x v="73"/>
    <n v="33174"/>
  </r>
  <r>
    <d v="2024-10-14T00:00:00"/>
    <x v="3"/>
    <n v="414"/>
    <n v="47"/>
    <n v="199178"/>
    <x v="74"/>
    <n v="6742"/>
  </r>
  <r>
    <d v="2024-10-21T00:00:00"/>
    <x v="0"/>
    <n v="703"/>
    <n v="441"/>
    <n v="357089"/>
    <x v="75"/>
    <n v="32478"/>
  </r>
  <r>
    <d v="2024-10-21T00:00:00"/>
    <x v="1"/>
    <n v="508"/>
    <n v="69"/>
    <n v="23492"/>
    <x v="7"/>
    <n v="42824"/>
  </r>
  <r>
    <d v="2024-10-21T00:00:00"/>
    <x v="2"/>
    <n v="697"/>
    <n v="61"/>
    <n v="258287"/>
    <x v="76"/>
    <n v="21208"/>
  </r>
  <r>
    <d v="2024-10-21T00:00:00"/>
    <x v="3"/>
    <n v="1707"/>
    <n v="223"/>
    <n v="256910"/>
    <x v="77"/>
    <n v="44321"/>
  </r>
  <r>
    <d v="2024-10-28T00:00:00"/>
    <x v="0"/>
    <n v="642"/>
    <n v="66"/>
    <n v="346522"/>
    <x v="78"/>
    <n v="13116"/>
  </r>
  <r>
    <d v="2024-10-28T00:00:00"/>
    <x v="1"/>
    <n v="859"/>
    <n v="473"/>
    <n v="209987"/>
    <x v="79"/>
    <n v="30214"/>
  </r>
  <r>
    <d v="2024-10-28T00:00:00"/>
    <x v="2"/>
    <n v="191"/>
    <n v="154"/>
    <n v="240550"/>
    <x v="80"/>
    <n v="15827"/>
  </r>
  <r>
    <d v="2024-10-28T00:00:00"/>
    <x v="3"/>
    <n v="1814"/>
    <n v="157"/>
    <n v="305827"/>
    <x v="81"/>
    <n v="46643"/>
  </r>
  <r>
    <d v="2024-11-04T00:00:00"/>
    <x v="0"/>
    <n v="1466"/>
    <n v="69"/>
    <n v="54935"/>
    <x v="82"/>
    <n v="36484"/>
  </r>
  <r>
    <d v="2024-11-04T00:00:00"/>
    <x v="1"/>
    <n v="947"/>
    <n v="407"/>
    <n v="319186"/>
    <x v="83"/>
    <n v="4996"/>
  </r>
  <r>
    <d v="2024-11-04T00:00:00"/>
    <x v="2"/>
    <n v="1821"/>
    <n v="218"/>
    <n v="439080"/>
    <x v="84"/>
    <n v="36095"/>
  </r>
  <r>
    <d v="2024-11-04T00:00:00"/>
    <x v="3"/>
    <n v="1507"/>
    <n v="463"/>
    <n v="258944"/>
    <x v="85"/>
    <n v="16443"/>
  </r>
  <r>
    <d v="2024-11-11T00:00:00"/>
    <x v="0"/>
    <n v="1075"/>
    <n v="173"/>
    <n v="51395"/>
    <x v="22"/>
    <n v="47812"/>
  </r>
  <r>
    <d v="2024-11-11T00:00:00"/>
    <x v="1"/>
    <n v="171"/>
    <n v="277"/>
    <n v="309483"/>
    <x v="86"/>
    <n v="38452"/>
  </r>
  <r>
    <d v="2024-11-11T00:00:00"/>
    <x v="2"/>
    <n v="1487"/>
    <n v="337"/>
    <n v="87305"/>
    <x v="8"/>
    <n v="30428"/>
  </r>
  <r>
    <d v="2024-11-11T00:00:00"/>
    <x v="3"/>
    <n v="454"/>
    <n v="105"/>
    <n v="121091"/>
    <x v="87"/>
    <n v="9269"/>
  </r>
  <r>
    <d v="2024-11-18T00:00:00"/>
    <x v="0"/>
    <n v="187"/>
    <n v="236"/>
    <n v="51087"/>
    <x v="88"/>
    <n v="29533"/>
  </r>
  <r>
    <d v="2024-11-18T00:00:00"/>
    <x v="1"/>
    <n v="513"/>
    <n v="441"/>
    <n v="338847"/>
    <x v="89"/>
    <n v="39997"/>
  </r>
  <r>
    <d v="2024-11-18T00:00:00"/>
    <x v="2"/>
    <n v="628"/>
    <n v="183"/>
    <n v="487523"/>
    <x v="90"/>
    <n v="5391"/>
  </r>
  <r>
    <d v="2024-11-18T00:00:00"/>
    <x v="3"/>
    <n v="278"/>
    <n v="218"/>
    <n v="301695"/>
    <x v="91"/>
    <n v="22373"/>
  </r>
  <r>
    <d v="2024-11-25T00:00:00"/>
    <x v="0"/>
    <n v="1854"/>
    <n v="161"/>
    <n v="282466"/>
    <x v="92"/>
    <n v="1810"/>
  </r>
  <r>
    <d v="2024-11-25T00:00:00"/>
    <x v="1"/>
    <n v="1710"/>
    <n v="378"/>
    <n v="336661"/>
    <x v="93"/>
    <n v="28498"/>
  </r>
  <r>
    <d v="2024-11-25T00:00:00"/>
    <x v="2"/>
    <n v="330"/>
    <n v="232"/>
    <n v="88455"/>
    <x v="94"/>
    <n v="39530"/>
  </r>
  <r>
    <d v="2024-11-25T00:00:00"/>
    <x v="3"/>
    <n v="1293"/>
    <n v="408"/>
    <n v="62535"/>
    <x v="71"/>
    <n v="37876"/>
  </r>
  <r>
    <d v="2024-12-02T00:00:00"/>
    <x v="0"/>
    <n v="1696"/>
    <n v="71"/>
    <n v="421957"/>
    <x v="95"/>
    <n v="36103"/>
  </r>
  <r>
    <d v="2024-12-02T00:00:00"/>
    <x v="1"/>
    <n v="1902"/>
    <n v="196"/>
    <n v="470269"/>
    <x v="96"/>
    <n v="26103"/>
  </r>
  <r>
    <d v="2024-12-02T00:00:00"/>
    <x v="2"/>
    <n v="1441"/>
    <n v="268"/>
    <n v="309904"/>
    <x v="97"/>
    <n v="3455"/>
  </r>
  <r>
    <d v="2024-12-02T00:00:00"/>
    <x v="3"/>
    <n v="452"/>
    <n v="161"/>
    <n v="221274"/>
    <x v="98"/>
    <n v="40888"/>
  </r>
  <r>
    <d v="2024-12-09T00:00:00"/>
    <x v="0"/>
    <n v="1494"/>
    <n v="375"/>
    <n v="220616"/>
    <x v="99"/>
    <n v="22724"/>
  </r>
  <r>
    <d v="2024-12-09T00:00:00"/>
    <x v="1"/>
    <n v="1514"/>
    <n v="141"/>
    <n v="35842"/>
    <x v="100"/>
    <n v="18601"/>
  </r>
  <r>
    <d v="2024-12-09T00:00:00"/>
    <x v="2"/>
    <n v="1937"/>
    <n v="210"/>
    <n v="20607"/>
    <x v="101"/>
    <n v="20861"/>
  </r>
  <r>
    <d v="2024-12-09T00:00:00"/>
    <x v="3"/>
    <n v="736"/>
    <n v="163"/>
    <n v="451894"/>
    <x v="102"/>
    <n v="46625"/>
  </r>
  <r>
    <d v="2024-12-16T00:00:00"/>
    <x v="0"/>
    <n v="1502"/>
    <n v="70"/>
    <n v="465553"/>
    <x v="83"/>
    <n v="20692"/>
  </r>
  <r>
    <d v="2024-12-16T00:00:00"/>
    <x v="1"/>
    <n v="1623"/>
    <n v="246"/>
    <n v="415815"/>
    <x v="9"/>
    <n v="18656"/>
  </r>
  <r>
    <d v="2024-12-16T00:00:00"/>
    <x v="2"/>
    <n v="1592"/>
    <n v="233"/>
    <n v="327183"/>
    <x v="103"/>
    <n v="13316"/>
  </r>
  <r>
    <d v="2024-12-16T00:00:00"/>
    <x v="3"/>
    <n v="1004"/>
    <n v="128"/>
    <n v="488901"/>
    <x v="104"/>
    <n v="49558"/>
  </r>
  <r>
    <d v="2024-12-23T00:00:00"/>
    <x v="0"/>
    <n v="1092"/>
    <n v="408"/>
    <n v="280795"/>
    <x v="105"/>
    <n v="4683"/>
  </r>
  <r>
    <d v="2024-12-23T00:00:00"/>
    <x v="1"/>
    <n v="1155"/>
    <n v="425"/>
    <n v="93347"/>
    <x v="106"/>
    <n v="47502"/>
  </r>
  <r>
    <d v="2024-12-23T00:00:00"/>
    <x v="2"/>
    <n v="1137"/>
    <n v="226"/>
    <n v="81119"/>
    <x v="107"/>
    <n v="35359"/>
  </r>
  <r>
    <d v="2024-12-23T00:00:00"/>
    <x v="3"/>
    <n v="1900"/>
    <n v="311"/>
    <n v="25177"/>
    <x v="108"/>
    <n v="14154"/>
  </r>
  <r>
    <d v="2024-12-30T00:00:00"/>
    <x v="0"/>
    <n v="1814"/>
    <n v="49"/>
    <n v="140804"/>
    <x v="55"/>
    <n v="4313"/>
  </r>
  <r>
    <d v="2024-12-30T00:00:00"/>
    <x v="1"/>
    <n v="1980"/>
    <n v="204"/>
    <n v="379431"/>
    <x v="109"/>
    <n v="25140"/>
  </r>
  <r>
    <d v="2024-12-30T00:00:00"/>
    <x v="2"/>
    <n v="1786"/>
    <n v="257"/>
    <n v="274831"/>
    <x v="91"/>
    <n v="9118"/>
  </r>
  <r>
    <d v="2024-12-30T00:00:00"/>
    <x v="3"/>
    <n v="1495"/>
    <n v="35"/>
    <n v="136845"/>
    <x v="17"/>
    <n v="39931"/>
  </r>
  <r>
    <d v="2025-01-06T00:00:00"/>
    <x v="0"/>
    <n v="1013"/>
    <n v="110"/>
    <n v="466382"/>
    <x v="110"/>
    <n v="37132"/>
  </r>
  <r>
    <d v="2025-01-06T00:00:00"/>
    <x v="1"/>
    <n v="816"/>
    <n v="196"/>
    <n v="95728"/>
    <x v="111"/>
    <n v="17951"/>
  </r>
  <r>
    <d v="2025-01-06T00:00:00"/>
    <x v="2"/>
    <n v="1633"/>
    <n v="445"/>
    <n v="371156"/>
    <x v="112"/>
    <n v="2798"/>
  </r>
  <r>
    <d v="2025-01-06T00:00:00"/>
    <x v="3"/>
    <n v="891"/>
    <n v="45"/>
    <n v="95410"/>
    <x v="113"/>
    <n v="15045"/>
  </r>
  <r>
    <d v="2025-01-13T00:00:00"/>
    <x v="0"/>
    <n v="1855"/>
    <n v="133"/>
    <n v="349413"/>
    <x v="64"/>
    <n v="14548"/>
  </r>
  <r>
    <d v="2025-01-13T00:00:00"/>
    <x v="1"/>
    <n v="651"/>
    <n v="353"/>
    <n v="224699"/>
    <x v="114"/>
    <n v="45708"/>
  </r>
  <r>
    <d v="2025-01-13T00:00:00"/>
    <x v="2"/>
    <n v="118"/>
    <n v="262"/>
    <n v="487896"/>
    <x v="115"/>
    <n v="12350"/>
  </r>
  <r>
    <d v="2025-01-13T00:00:00"/>
    <x v="3"/>
    <n v="1331"/>
    <n v="430"/>
    <n v="14437"/>
    <x v="116"/>
    <n v="40868"/>
  </r>
  <r>
    <d v="2025-01-20T00:00:00"/>
    <x v="0"/>
    <n v="1748"/>
    <n v="176"/>
    <n v="383681"/>
    <x v="56"/>
    <n v="43122"/>
  </r>
  <r>
    <d v="2025-01-20T00:00:00"/>
    <x v="1"/>
    <n v="663"/>
    <n v="236"/>
    <n v="479490"/>
    <x v="117"/>
    <n v="23853"/>
  </r>
  <r>
    <d v="2025-01-20T00:00:00"/>
    <x v="2"/>
    <n v="1040"/>
    <n v="149"/>
    <n v="124404"/>
    <x v="118"/>
    <n v="45380"/>
  </r>
  <r>
    <d v="2025-01-20T00:00:00"/>
    <x v="3"/>
    <n v="1166"/>
    <n v="442"/>
    <n v="336949"/>
    <x v="91"/>
    <n v="7705"/>
  </r>
  <r>
    <d v="2025-01-27T00:00:00"/>
    <x v="0"/>
    <n v="115"/>
    <n v="281"/>
    <n v="357265"/>
    <x v="119"/>
    <n v="25525"/>
  </r>
  <r>
    <d v="2025-01-27T00:00:00"/>
    <x v="1"/>
    <n v="1249"/>
    <n v="351"/>
    <n v="321307"/>
    <x v="97"/>
    <n v="20560"/>
  </r>
  <r>
    <d v="2025-01-27T00:00:00"/>
    <x v="2"/>
    <n v="1501"/>
    <n v="75"/>
    <n v="262569"/>
    <x v="120"/>
    <n v="19119"/>
  </r>
  <r>
    <d v="2025-01-27T00:00:00"/>
    <x v="3"/>
    <n v="1411"/>
    <n v="186"/>
    <n v="461669"/>
    <x v="121"/>
    <n v="43999"/>
  </r>
  <r>
    <d v="2025-02-03T00:00:00"/>
    <x v="0"/>
    <n v="1556"/>
    <n v="476"/>
    <n v="351556"/>
    <x v="122"/>
    <n v="10825"/>
  </r>
  <r>
    <d v="2025-02-03T00:00:00"/>
    <x v="1"/>
    <n v="1159"/>
    <n v="411"/>
    <n v="135987"/>
    <x v="86"/>
    <n v="40323"/>
  </r>
  <r>
    <d v="2025-02-03T00:00:00"/>
    <x v="2"/>
    <n v="927"/>
    <n v="358"/>
    <n v="177554"/>
    <x v="123"/>
    <n v="48270"/>
  </r>
  <r>
    <d v="2025-02-03T00:00:00"/>
    <x v="3"/>
    <n v="152"/>
    <n v="355"/>
    <n v="270766"/>
    <x v="124"/>
    <n v="18001"/>
  </r>
  <r>
    <d v="2025-02-10T00:00:00"/>
    <x v="0"/>
    <n v="1957"/>
    <n v="234"/>
    <n v="222126"/>
    <x v="125"/>
    <n v="3314"/>
  </r>
  <r>
    <d v="2025-02-10T00:00:00"/>
    <x v="1"/>
    <n v="1294"/>
    <n v="382"/>
    <n v="309914"/>
    <x v="126"/>
    <n v="23489"/>
  </r>
  <r>
    <d v="2025-02-10T00:00:00"/>
    <x v="2"/>
    <n v="1587"/>
    <n v="385"/>
    <n v="126582"/>
    <x v="127"/>
    <n v="42832"/>
  </r>
  <r>
    <d v="2025-02-10T00:00:00"/>
    <x v="3"/>
    <n v="1707"/>
    <n v="263"/>
    <n v="485280"/>
    <x v="128"/>
    <n v="24494"/>
  </r>
  <r>
    <d v="2025-02-17T00:00:00"/>
    <x v="0"/>
    <n v="1138"/>
    <n v="173"/>
    <n v="453243"/>
    <x v="129"/>
    <n v="44097"/>
  </r>
  <r>
    <d v="2025-02-17T00:00:00"/>
    <x v="1"/>
    <n v="1895"/>
    <n v="305"/>
    <n v="104967"/>
    <x v="130"/>
    <n v="31853"/>
  </r>
  <r>
    <d v="2025-02-17T00:00:00"/>
    <x v="2"/>
    <n v="362"/>
    <n v="399"/>
    <n v="145608"/>
    <x v="131"/>
    <n v="37636"/>
  </r>
  <r>
    <d v="2025-02-17T00:00:00"/>
    <x v="3"/>
    <n v="1662"/>
    <n v="487"/>
    <n v="105980"/>
    <x v="132"/>
    <n v="22996"/>
  </r>
  <r>
    <d v="2025-02-24T00:00:00"/>
    <x v="0"/>
    <n v="1440"/>
    <n v="65"/>
    <n v="126524"/>
    <x v="133"/>
    <n v="49772"/>
  </r>
  <r>
    <d v="2025-02-24T00:00:00"/>
    <x v="1"/>
    <n v="1884"/>
    <n v="177"/>
    <n v="230448"/>
    <x v="134"/>
    <n v="22713"/>
  </r>
  <r>
    <d v="2025-02-24T00:00:00"/>
    <x v="2"/>
    <n v="861"/>
    <n v="153"/>
    <n v="317007"/>
    <x v="130"/>
    <n v="8718"/>
  </r>
  <r>
    <d v="2025-02-24T00:00:00"/>
    <x v="3"/>
    <n v="1063"/>
    <n v="47"/>
    <n v="464239"/>
    <x v="135"/>
    <n v="39031"/>
  </r>
  <r>
    <d v="2025-03-03T00:00:00"/>
    <x v="0"/>
    <n v="1371"/>
    <n v="56"/>
    <n v="257579"/>
    <x v="136"/>
    <n v="33799"/>
  </r>
  <r>
    <d v="2025-03-03T00:00:00"/>
    <x v="1"/>
    <n v="345"/>
    <n v="464"/>
    <n v="366881"/>
    <x v="137"/>
    <n v="20553"/>
  </r>
  <r>
    <d v="2025-03-03T00:00:00"/>
    <x v="2"/>
    <n v="946"/>
    <n v="47"/>
    <n v="466575"/>
    <x v="113"/>
    <n v="10002"/>
  </r>
  <r>
    <d v="2025-03-03T00:00:00"/>
    <x v="3"/>
    <n v="510"/>
    <n v="195"/>
    <n v="224534"/>
    <x v="138"/>
    <n v="30987"/>
  </r>
  <r>
    <d v="2025-03-10T00:00:00"/>
    <x v="0"/>
    <n v="393"/>
    <n v="181"/>
    <n v="462142"/>
    <x v="139"/>
    <n v="6296"/>
  </r>
  <r>
    <d v="2025-03-10T00:00:00"/>
    <x v="1"/>
    <n v="1098"/>
    <n v="190"/>
    <n v="340842"/>
    <x v="140"/>
    <n v="21539"/>
  </r>
  <r>
    <d v="2025-03-10T00:00:00"/>
    <x v="2"/>
    <n v="1399"/>
    <n v="49"/>
    <n v="12471"/>
    <x v="141"/>
    <n v="14722"/>
  </r>
  <r>
    <d v="2025-03-10T00:00:00"/>
    <x v="3"/>
    <n v="1658"/>
    <n v="416"/>
    <n v="98397"/>
    <x v="37"/>
    <n v="11383"/>
  </r>
  <r>
    <d v="2025-03-17T00:00:00"/>
    <x v="0"/>
    <n v="1102"/>
    <n v="422"/>
    <n v="410330"/>
    <x v="107"/>
    <n v="9480"/>
  </r>
  <r>
    <d v="2025-03-17T00:00:00"/>
    <x v="1"/>
    <n v="1358"/>
    <n v="242"/>
    <n v="342129"/>
    <x v="142"/>
    <n v="29116"/>
  </r>
  <r>
    <d v="2025-03-17T00:00:00"/>
    <x v="2"/>
    <n v="1077"/>
    <n v="216"/>
    <n v="12447"/>
    <x v="143"/>
    <n v="14068"/>
  </r>
  <r>
    <d v="2025-03-17T00:00:00"/>
    <x v="3"/>
    <n v="1596"/>
    <n v="211"/>
    <n v="17380"/>
    <x v="144"/>
    <n v="35801"/>
  </r>
  <r>
    <d v="2025-03-24T00:00:00"/>
    <x v="0"/>
    <n v="490"/>
    <n v="29"/>
    <n v="364810"/>
    <x v="74"/>
    <n v="49077"/>
  </r>
  <r>
    <d v="2025-03-24T00:00:00"/>
    <x v="1"/>
    <n v="609"/>
    <n v="135"/>
    <n v="373606"/>
    <x v="145"/>
    <n v="21453"/>
  </r>
  <r>
    <d v="2025-03-24T00:00:00"/>
    <x v="2"/>
    <n v="364"/>
    <n v="72"/>
    <n v="211090"/>
    <x v="146"/>
    <n v="21061"/>
  </r>
  <r>
    <d v="2025-03-24T00:00:00"/>
    <x v="3"/>
    <n v="442"/>
    <n v="53"/>
    <n v="441931"/>
    <x v="147"/>
    <n v="20059"/>
  </r>
  <r>
    <d v="2025-03-31T00:00:00"/>
    <x v="0"/>
    <n v="1033"/>
    <n v="392"/>
    <n v="282780"/>
    <x v="148"/>
    <n v="23140"/>
  </r>
  <r>
    <d v="2025-03-31T00:00:00"/>
    <x v="1"/>
    <n v="988"/>
    <n v="474"/>
    <n v="370070"/>
    <x v="149"/>
    <n v="23461"/>
  </r>
  <r>
    <d v="2025-03-31T00:00:00"/>
    <x v="2"/>
    <n v="1946"/>
    <n v="270"/>
    <n v="198350"/>
    <x v="150"/>
    <n v="11805"/>
  </r>
  <r>
    <d v="2025-03-31T00:00:00"/>
    <x v="3"/>
    <n v="1957"/>
    <n v="490"/>
    <n v="435726"/>
    <x v="151"/>
    <n v="15969"/>
  </r>
  <r>
    <d v="2025-04-07T00:00:00"/>
    <x v="0"/>
    <n v="559"/>
    <n v="392"/>
    <n v="78789"/>
    <x v="152"/>
    <n v="2436"/>
  </r>
  <r>
    <d v="2025-04-07T00:00:00"/>
    <x v="1"/>
    <n v="1307"/>
    <n v="278"/>
    <n v="98596"/>
    <x v="153"/>
    <n v="47603"/>
  </r>
  <r>
    <d v="2025-04-07T00:00:00"/>
    <x v="2"/>
    <n v="1432"/>
    <n v="425"/>
    <n v="29589"/>
    <x v="154"/>
    <n v="42964"/>
  </r>
  <r>
    <d v="2025-04-07T00:00:00"/>
    <x v="3"/>
    <n v="623"/>
    <n v="414"/>
    <n v="290354"/>
    <x v="155"/>
    <n v="39923"/>
  </r>
  <r>
    <d v="2025-04-14T00:00:00"/>
    <x v="0"/>
    <n v="198"/>
    <n v="358"/>
    <n v="66682"/>
    <x v="156"/>
    <n v="2293"/>
  </r>
  <r>
    <d v="2025-04-14T00:00:00"/>
    <x v="1"/>
    <n v="198"/>
    <n v="373"/>
    <n v="70707"/>
    <x v="157"/>
    <n v="25920"/>
  </r>
  <r>
    <d v="2025-04-14T00:00:00"/>
    <x v="2"/>
    <n v="353"/>
    <n v="300"/>
    <n v="142507"/>
    <x v="110"/>
    <n v="11035"/>
  </r>
  <r>
    <d v="2025-04-14T00:00:00"/>
    <x v="3"/>
    <n v="520"/>
    <n v="375"/>
    <n v="369525"/>
    <x v="158"/>
    <n v="20733"/>
  </r>
  <r>
    <d v="2025-04-21T00:00:00"/>
    <x v="0"/>
    <n v="961"/>
    <n v="358"/>
    <n v="62942"/>
    <x v="159"/>
    <n v="18693"/>
  </r>
  <r>
    <d v="2025-04-21T00:00:00"/>
    <x v="1"/>
    <n v="1375"/>
    <n v="330"/>
    <n v="377382"/>
    <x v="160"/>
    <n v="7875"/>
  </r>
  <r>
    <d v="2025-04-21T00:00:00"/>
    <x v="2"/>
    <n v="1147"/>
    <n v="388"/>
    <n v="333851"/>
    <x v="161"/>
    <n v="8471"/>
  </r>
  <r>
    <d v="2025-04-21T00:00:00"/>
    <x v="3"/>
    <n v="1707"/>
    <n v="74"/>
    <n v="270958"/>
    <x v="109"/>
    <n v="14090"/>
  </r>
  <r>
    <d v="2025-04-28T00:00:00"/>
    <x v="0"/>
    <n v="1693"/>
    <n v="154"/>
    <n v="445944"/>
    <x v="162"/>
    <n v="14216"/>
  </r>
  <r>
    <d v="2025-04-28T00:00:00"/>
    <x v="1"/>
    <n v="833"/>
    <n v="380"/>
    <n v="224830"/>
    <x v="53"/>
    <n v="3582"/>
  </r>
  <r>
    <d v="2025-04-28T00:00:00"/>
    <x v="2"/>
    <n v="1222"/>
    <n v="274"/>
    <n v="487289"/>
    <x v="7"/>
    <n v="32500"/>
  </r>
  <r>
    <d v="2025-04-28T00:00:00"/>
    <x v="3"/>
    <n v="777"/>
    <n v="140"/>
    <n v="11435"/>
    <x v="163"/>
    <n v="6832"/>
  </r>
  <r>
    <d v="2025-05-05T00:00:00"/>
    <x v="0"/>
    <n v="1957"/>
    <n v="76"/>
    <n v="447902"/>
    <x v="164"/>
    <n v="33381"/>
  </r>
  <r>
    <d v="2025-05-05T00:00:00"/>
    <x v="1"/>
    <n v="405"/>
    <n v="66"/>
    <n v="418696"/>
    <x v="165"/>
    <n v="48419"/>
  </r>
  <r>
    <d v="2025-05-05T00:00:00"/>
    <x v="2"/>
    <n v="1581"/>
    <n v="71"/>
    <n v="484364"/>
    <x v="166"/>
    <n v="16149"/>
  </r>
  <r>
    <d v="2025-05-05T00:00:00"/>
    <x v="3"/>
    <n v="1035"/>
    <n v="171"/>
    <n v="148477"/>
    <x v="167"/>
    <n v="7541"/>
  </r>
  <r>
    <d v="2025-05-12T00:00:00"/>
    <x v="0"/>
    <n v="1765"/>
    <n v="109"/>
    <n v="468301"/>
    <x v="168"/>
    <n v="20042"/>
  </r>
  <r>
    <d v="2025-05-12T00:00:00"/>
    <x v="1"/>
    <n v="837"/>
    <n v="430"/>
    <n v="364820"/>
    <x v="169"/>
    <n v="49400"/>
  </r>
  <r>
    <d v="2025-05-12T00:00:00"/>
    <x v="2"/>
    <n v="337"/>
    <n v="68"/>
    <n v="456298"/>
    <x v="170"/>
    <n v="4007"/>
  </r>
  <r>
    <d v="2025-05-12T00:00:00"/>
    <x v="3"/>
    <n v="119"/>
    <n v="456"/>
    <n v="82558"/>
    <x v="17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09070-4BEF-4946-9201-AEF498D6CDD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1" baseItem="1" numFmtId="3"/>
    <dataField name="Sum of Engagement_Ra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6084A-C54D-43A4-97C6-AEE358918AAB}" name="Table18" displayName="Table18" ref="A3:G203" totalsRowShown="0">
  <autoFilter ref="A3:G203" xr:uid="{AA86084A-C54D-43A4-97C6-AEE358918AAB}"/>
  <tableColumns count="7">
    <tableColumn id="1" xr3:uid="{14725C35-B0AC-4160-B2BD-3FD110F431FA}" name="Week_Start_Date" dataDxfId="23"/>
    <tableColumn id="2" xr3:uid="{773F3F36-5775-4E3A-86CF-79B032FC1FD2}" name="Platform"/>
    <tableColumn id="3" xr3:uid="{087686A8-2815-4035-A20E-97E11673FE85}" name="New_Followers" dataDxfId="22"/>
    <tableColumn id="4" xr3:uid="{832C21E5-264F-49F4-8B32-C132EF81FA56}" name="Unfollows" dataDxfId="21"/>
    <tableColumn id="5" xr3:uid="{198E6506-A84C-4626-AAD6-0E3CB42A770F}" name="Total_Followers" dataDxfId="20"/>
    <tableColumn id="6" xr3:uid="{DC6A9601-441B-48BE-9F2F-7BDE280C23BD}" name="Engagement_Rate"/>
    <tableColumn id="7" xr3:uid="{3BC739FF-2173-4BB5-A6D6-1818B4F62F18}" name="Ad_Spend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FFDF84-607C-4081-BDAF-DFAF4AC86DCC}" name="Table3" displayName="Table3" ref="A1:G5" totalsRowShown="0" headerRowDxfId="18" dataDxfId="17">
  <autoFilter ref="A1:G5" xr:uid="{C9FFDF84-607C-4081-BDAF-DFAF4AC86DCC}"/>
  <tableColumns count="7">
    <tableColumn id="1" xr3:uid="{9EBA4FEE-62DA-4CAD-9CA0-450D831A8C53}" name="Campaign" dataDxfId="16"/>
    <tableColumn id="2" xr3:uid="{D4F7CCDD-CF2E-4C7E-9763-D446B3339077}" name="Total Impressions" dataDxfId="15"/>
    <tableColumn id="3" xr3:uid="{79D1ADCC-F3CA-4A48-8974-2B3BA5D48BAD}" name="Avg Impressions" dataDxfId="14"/>
    <tableColumn id="4" xr3:uid="{FB8789C5-57B2-49D9-8787-0B394529F762}" name="Total Likes" dataDxfId="13"/>
    <tableColumn id="5" xr3:uid="{3CDA8A84-7570-4AD6-8DC0-46ABF2B1E833}" name="Avg Likes" dataDxfId="12"/>
    <tableColumn id="6" xr3:uid="{1CDF04A5-C0E2-48F3-89B4-C0EEDE78CD67}" name="Total Clicks" dataDxfId="11"/>
    <tableColumn id="7" xr3:uid="{B27FD11A-38F5-4A18-A526-9F7D87102999}" name="Avg Click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8B3E8-85AD-4152-86D3-EFBF6FD2AC1B}" name="Table4" displayName="Table4" ref="A1:G5" totalsRowShown="0" headerRowDxfId="9" tableBorderDxfId="8">
  <autoFilter ref="A1:G5" xr:uid="{A7B62E53-4CAD-4DE3-AE26-8413CDF0A72E}"/>
  <sortState xmlns:xlrd2="http://schemas.microsoft.com/office/spreadsheetml/2017/richdata2" ref="A2:G5">
    <sortCondition ref="G4:G5"/>
  </sortState>
  <tableColumns count="7">
    <tableColumn id="1" xr3:uid="{EB27EB01-B22B-449C-9EB4-EA64BEF083E9}" name="Campaign_Name"/>
    <tableColumn id="2" xr3:uid="{F9ADCB6A-05B1-4107-BBED-FB32DA41FF0F}" name="Start_Date" dataDxfId="7">
      <calculatedColumnFormula>VLOOKUP($A2, '[2]Campaign Metadata'!$A:$E, 2, FALSE)</calculatedColumnFormula>
    </tableColumn>
    <tableColumn id="3" xr3:uid="{C2453AFD-8CB5-4A26-89E1-FD2AB078D997}" name="End_Date" dataDxfId="6">
      <calculatedColumnFormula>VLOOKUP($A2, '[2]Campaign Metadata'!$A:$E, 3, FALSE)</calculatedColumnFormula>
    </tableColumn>
    <tableColumn id="4" xr3:uid="{38BBF4F1-7BD8-42AA-AE11-051C671A401A}" name="Total_Likes" dataDxfId="5">
      <calculatedColumnFormula>SUMIFS([2]Posts!$F:$F, [2]Posts!$M:$M, $A2)</calculatedColumnFormula>
    </tableColumn>
    <tableColumn id="5" xr3:uid="{9E6B1702-DBD7-46F5-90E9-CAC0595E3EF1}" name="Total_Impressions" dataDxfId="4">
      <calculatedColumnFormula>SUMIFS([2]Posts!$I:$I, [2]Posts!$M:$M, $A2)</calculatedColumnFormula>
    </tableColumn>
    <tableColumn id="6" xr3:uid="{C27B47FA-FF6C-4639-82CE-F747B3EA880A}" name="Total_Clicks" dataDxfId="3">
      <calculatedColumnFormula>SUMIFS([2]Posts!$K:$K, [2]Posts!$M:$M, $A2)</calculatedColumnFormula>
    </tableColumn>
    <tableColumn id="7" xr3:uid="{B146E871-F1BC-4E26-8157-2B7BB48B5468}" name="ROI" dataDxfId="2">
      <calculatedColumnFormula>SUMIFS('[2]Engagement Summary'!$H:$H, '[2]Engagement Summary'!$J:$J, $A2) /
 VLOOKUP($A2, '[2]Campaign Metadata'!$A:$E, 5, 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6DA1EC-A2AC-4816-9023-71992940AB1F}" name="Table36" displayName="Table36" ref="H1:H5" totalsRowShown="0" dataDxfId="1">
  <autoFilter ref="H1:H5" xr:uid="{C0B92F16-0799-4200-A8EE-2559D617B9FD}"/>
  <tableColumns count="1">
    <tableColumn id="1" xr3:uid="{B26BC918-5332-481D-8C84-0CCF3A5711FC}" name="Engagment Rate" dataDxfId="0">
      <calculatedColumnFormula>(D2+F2)/E2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D7B787-07D4-4298-9E33-8FE3B4AEE647}" name="Table5" displayName="Table5" ref="I1:I5" totalsRowShown="0">
  <autoFilter ref="I1:I5" xr:uid="{31B96B7D-5B2D-4C79-AF00-F037E8EB6381}"/>
  <tableColumns count="1">
    <tableColumn id="1" xr3:uid="{5D5B3471-166F-4F7C-95D4-2628B9C447B1}" name="Avg Engagment Rate(after)">
      <calculatedColumnFormula>AVERAGE(H2:H5)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2C5765-7CD7-497A-9124-B72E8B2A2002}" name="Table7" displayName="Table7" ref="J1:J5" totalsRowShown="0">
  <autoFilter ref="J1:J5" xr:uid="{DB2C5765-7CD7-497A-9124-B72E8B2A2002}"/>
  <tableColumns count="1">
    <tableColumn id="1" xr3:uid="{F62E2ED6-2B6E-4DEC-AF0C-15DDE41254EB}" name="Avg Engagment Rate(before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7EDD87-15C8-4719-87FF-187A1CBA7ED3}" name="Table8" displayName="Table8" ref="K1:K5" totalsRowShown="0">
  <autoFilter ref="K1:K5" xr:uid="{627EDD87-15C8-4719-87FF-187A1CBA7ED3}"/>
  <tableColumns count="1">
    <tableColumn id="1" xr3:uid="{810FAFE9-4FCA-4EF7-BE49-1F1FD1C1E337}" name="Engagement uplift">
      <calculatedColumnFormula>I2-J2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68F1-8A11-492E-A337-AAAEA0331FD6}">
  <dimension ref="A1:H203"/>
  <sheetViews>
    <sheetView workbookViewId="0">
      <selection activeCell="L3" sqref="L3"/>
    </sheetView>
  </sheetViews>
  <sheetFormatPr defaultRowHeight="14.4" x14ac:dyDescent="0.3"/>
  <cols>
    <col min="1" max="1" width="16.88671875" customWidth="1"/>
    <col min="2" max="2" width="10.5546875" bestFit="1" customWidth="1"/>
    <col min="3" max="3" width="16" style="6" bestFit="1" customWidth="1"/>
    <col min="4" max="4" width="11.6640625" style="6" bestFit="1" customWidth="1"/>
    <col min="5" max="5" width="16.44140625" style="6" bestFit="1" customWidth="1"/>
    <col min="6" max="6" width="18.6640625" bestFit="1" customWidth="1"/>
    <col min="7" max="7" width="11.88671875" style="6" bestFit="1" customWidth="1"/>
    <col min="8" max="8" width="25.5546875" customWidth="1"/>
  </cols>
  <sheetData>
    <row r="1" spans="1:8" x14ac:dyDescent="0.3">
      <c r="A1" s="1" t="s">
        <v>11</v>
      </c>
    </row>
    <row r="3" spans="1:8" x14ac:dyDescent="0.3">
      <c r="A3" s="2" t="s">
        <v>0</v>
      </c>
      <c r="B3" t="s">
        <v>1</v>
      </c>
      <c r="C3" s="6" t="s">
        <v>2</v>
      </c>
      <c r="D3" s="6" t="s">
        <v>3</v>
      </c>
      <c r="E3" s="6" t="s">
        <v>4</v>
      </c>
      <c r="F3" s="2" t="s">
        <v>5</v>
      </c>
      <c r="G3" s="6" t="s">
        <v>6</v>
      </c>
      <c r="H3" s="6"/>
    </row>
    <row r="4" spans="1:8" x14ac:dyDescent="0.3">
      <c r="A4" s="3">
        <v>45446</v>
      </c>
      <c r="B4" s="2" t="s">
        <v>7</v>
      </c>
      <c r="C4" s="6">
        <v>1312</v>
      </c>
      <c r="D4" s="6">
        <v>310</v>
      </c>
      <c r="E4" s="6">
        <v>42654</v>
      </c>
      <c r="F4">
        <v>4.9800000000000004</v>
      </c>
      <c r="G4" s="6">
        <v>9566</v>
      </c>
      <c r="H4" s="6"/>
    </row>
    <row r="5" spans="1:8" x14ac:dyDescent="0.3">
      <c r="A5" s="3">
        <v>45453</v>
      </c>
      <c r="B5" t="s">
        <v>7</v>
      </c>
      <c r="C5" s="6">
        <v>1697</v>
      </c>
      <c r="D5" s="6">
        <v>414</v>
      </c>
      <c r="E5" s="6">
        <v>316555</v>
      </c>
      <c r="F5">
        <v>2.37</v>
      </c>
      <c r="G5" s="6">
        <v>7924</v>
      </c>
      <c r="H5" s="6"/>
    </row>
    <row r="6" spans="1:8" x14ac:dyDescent="0.3">
      <c r="A6" s="3">
        <v>45460</v>
      </c>
      <c r="B6" t="s">
        <v>7</v>
      </c>
      <c r="C6" s="6">
        <v>1753</v>
      </c>
      <c r="D6" s="6">
        <v>371</v>
      </c>
      <c r="E6" s="6">
        <v>169496</v>
      </c>
      <c r="F6">
        <v>8.11</v>
      </c>
      <c r="G6" s="6">
        <v>46670</v>
      </c>
      <c r="H6" s="6"/>
    </row>
    <row r="7" spans="1:8" x14ac:dyDescent="0.3">
      <c r="A7" s="3">
        <v>45467</v>
      </c>
      <c r="B7" t="s">
        <v>7</v>
      </c>
      <c r="C7" s="6">
        <v>1779</v>
      </c>
      <c r="D7" s="6">
        <v>109</v>
      </c>
      <c r="E7" s="6">
        <v>26295</v>
      </c>
      <c r="F7">
        <v>9.1199999999999992</v>
      </c>
      <c r="G7" s="6">
        <v>30635</v>
      </c>
      <c r="H7" s="6"/>
    </row>
    <row r="8" spans="1:8" x14ac:dyDescent="0.3">
      <c r="A8" s="3">
        <v>45474</v>
      </c>
      <c r="B8" t="s">
        <v>7</v>
      </c>
      <c r="C8" s="6">
        <v>505</v>
      </c>
      <c r="D8" s="6">
        <v>441</v>
      </c>
      <c r="E8" s="6">
        <v>220020</v>
      </c>
      <c r="F8">
        <v>4.4800000000000004</v>
      </c>
      <c r="G8" s="6">
        <v>42307</v>
      </c>
      <c r="H8" s="6"/>
    </row>
    <row r="9" spans="1:8" x14ac:dyDescent="0.3">
      <c r="A9" s="3">
        <v>45481</v>
      </c>
      <c r="B9" t="s">
        <v>7</v>
      </c>
      <c r="C9" s="6">
        <v>350</v>
      </c>
      <c r="D9" s="6">
        <v>41</v>
      </c>
      <c r="E9" s="6">
        <v>251694</v>
      </c>
      <c r="F9">
        <v>1.91</v>
      </c>
      <c r="G9" s="6">
        <v>38610</v>
      </c>
      <c r="H9" s="6"/>
    </row>
    <row r="10" spans="1:8" x14ac:dyDescent="0.3">
      <c r="A10" s="3">
        <v>45488</v>
      </c>
      <c r="B10" t="s">
        <v>7</v>
      </c>
      <c r="C10" s="6">
        <v>170</v>
      </c>
      <c r="D10" s="6">
        <v>334</v>
      </c>
      <c r="E10" s="6">
        <v>334626</v>
      </c>
      <c r="F10">
        <v>6.44</v>
      </c>
      <c r="G10" s="6">
        <v>43420</v>
      </c>
    </row>
    <row r="11" spans="1:8" x14ac:dyDescent="0.3">
      <c r="A11" s="3">
        <v>45495</v>
      </c>
      <c r="B11" t="s">
        <v>7</v>
      </c>
      <c r="C11" s="6">
        <v>1391</v>
      </c>
      <c r="D11" s="6">
        <v>430</v>
      </c>
      <c r="E11" s="6">
        <v>295032</v>
      </c>
      <c r="F11">
        <v>7.86</v>
      </c>
      <c r="G11" s="6">
        <v>26067</v>
      </c>
    </row>
    <row r="12" spans="1:8" x14ac:dyDescent="0.3">
      <c r="A12" s="3">
        <v>45502</v>
      </c>
      <c r="B12" t="s">
        <v>7</v>
      </c>
      <c r="C12" s="6">
        <v>160</v>
      </c>
      <c r="D12" s="6">
        <v>478</v>
      </c>
      <c r="E12" s="6">
        <v>435034</v>
      </c>
      <c r="F12">
        <v>7.73</v>
      </c>
      <c r="G12" s="6">
        <v>4839</v>
      </c>
    </row>
    <row r="13" spans="1:8" x14ac:dyDescent="0.3">
      <c r="A13" s="3">
        <v>45509</v>
      </c>
      <c r="B13" t="s">
        <v>7</v>
      </c>
      <c r="C13" s="6">
        <v>214</v>
      </c>
      <c r="D13" s="6">
        <v>411</v>
      </c>
      <c r="E13" s="6">
        <v>125034</v>
      </c>
      <c r="F13">
        <v>6.11</v>
      </c>
      <c r="G13" s="6">
        <v>26455</v>
      </c>
    </row>
    <row r="14" spans="1:8" x14ac:dyDescent="0.3">
      <c r="A14" s="3">
        <v>45516</v>
      </c>
      <c r="B14" t="s">
        <v>7</v>
      </c>
      <c r="C14" s="6">
        <v>1534</v>
      </c>
      <c r="D14" s="6">
        <v>200</v>
      </c>
      <c r="E14" s="6">
        <v>307612</v>
      </c>
      <c r="F14">
        <v>6.01</v>
      </c>
      <c r="G14" s="6">
        <v>37903</v>
      </c>
    </row>
    <row r="15" spans="1:8" x14ac:dyDescent="0.3">
      <c r="A15" s="3">
        <v>45523</v>
      </c>
      <c r="B15" t="s">
        <v>7</v>
      </c>
      <c r="C15" s="6">
        <v>1078</v>
      </c>
      <c r="D15" s="6">
        <v>20</v>
      </c>
      <c r="E15" s="6">
        <v>183924</v>
      </c>
      <c r="F15">
        <v>8.84</v>
      </c>
      <c r="G15" s="6">
        <v>14203</v>
      </c>
    </row>
    <row r="16" spans="1:8" x14ac:dyDescent="0.3">
      <c r="A16" s="3">
        <v>45530</v>
      </c>
      <c r="B16" t="s">
        <v>7</v>
      </c>
      <c r="C16" s="6">
        <v>248</v>
      </c>
      <c r="D16" s="6">
        <v>211</v>
      </c>
      <c r="E16" s="6">
        <v>379380</v>
      </c>
      <c r="F16">
        <v>9.0399999999999991</v>
      </c>
      <c r="G16" s="6">
        <v>26925</v>
      </c>
    </row>
    <row r="17" spans="1:7" x14ac:dyDescent="0.3">
      <c r="A17" s="3">
        <v>45537</v>
      </c>
      <c r="B17" t="s">
        <v>7</v>
      </c>
      <c r="C17" s="6">
        <v>1520</v>
      </c>
      <c r="D17" s="6">
        <v>475</v>
      </c>
      <c r="E17" s="6">
        <v>496982</v>
      </c>
      <c r="F17">
        <v>6.41</v>
      </c>
      <c r="G17" s="6">
        <v>24384</v>
      </c>
    </row>
    <row r="18" spans="1:7" x14ac:dyDescent="0.3">
      <c r="A18" s="3">
        <v>45544</v>
      </c>
      <c r="B18" t="s">
        <v>7</v>
      </c>
      <c r="C18" s="6">
        <v>1842</v>
      </c>
      <c r="D18" s="6">
        <v>414</v>
      </c>
      <c r="E18" s="6">
        <v>307524</v>
      </c>
      <c r="F18">
        <v>1.76</v>
      </c>
      <c r="G18" s="6">
        <v>40478</v>
      </c>
    </row>
    <row r="19" spans="1:7" x14ac:dyDescent="0.3">
      <c r="A19" s="3">
        <v>45551</v>
      </c>
      <c r="B19" t="s">
        <v>7</v>
      </c>
      <c r="C19" s="6">
        <v>443</v>
      </c>
      <c r="D19" s="6">
        <v>345</v>
      </c>
      <c r="E19" s="6">
        <v>474162</v>
      </c>
      <c r="F19">
        <v>9.1999999999999993</v>
      </c>
      <c r="G19" s="6">
        <v>47462</v>
      </c>
    </row>
    <row r="20" spans="1:7" x14ac:dyDescent="0.3">
      <c r="A20" s="3">
        <v>45558</v>
      </c>
      <c r="B20" t="s">
        <v>7</v>
      </c>
      <c r="C20" s="6">
        <v>198</v>
      </c>
      <c r="D20" s="6">
        <v>217</v>
      </c>
      <c r="E20" s="6">
        <v>239753</v>
      </c>
      <c r="F20">
        <v>7.36</v>
      </c>
      <c r="G20" s="6">
        <v>11901</v>
      </c>
    </row>
    <row r="21" spans="1:7" x14ac:dyDescent="0.3">
      <c r="A21" s="3">
        <v>45565</v>
      </c>
      <c r="B21" t="s">
        <v>7</v>
      </c>
      <c r="C21" s="6">
        <v>250</v>
      </c>
      <c r="D21" s="6">
        <v>429</v>
      </c>
      <c r="E21" s="6">
        <v>453423</v>
      </c>
      <c r="F21">
        <v>1.77</v>
      </c>
      <c r="G21" s="6">
        <v>2315</v>
      </c>
    </row>
    <row r="22" spans="1:7" x14ac:dyDescent="0.3">
      <c r="A22" s="3">
        <v>45572</v>
      </c>
      <c r="B22" t="s">
        <v>7</v>
      </c>
      <c r="C22" s="6">
        <v>1929</v>
      </c>
      <c r="D22" s="6">
        <v>267</v>
      </c>
      <c r="E22" s="6">
        <v>379363</v>
      </c>
      <c r="F22">
        <v>1.75</v>
      </c>
      <c r="G22" s="6">
        <v>43836</v>
      </c>
    </row>
    <row r="23" spans="1:7" x14ac:dyDescent="0.3">
      <c r="A23" s="3">
        <v>45579</v>
      </c>
      <c r="B23" t="s">
        <v>7</v>
      </c>
      <c r="C23" s="6">
        <v>643</v>
      </c>
      <c r="D23" s="6">
        <v>358</v>
      </c>
      <c r="E23" s="6">
        <v>157599</v>
      </c>
      <c r="F23">
        <v>3.88</v>
      </c>
      <c r="G23" s="6">
        <v>7285</v>
      </c>
    </row>
    <row r="24" spans="1:7" x14ac:dyDescent="0.3">
      <c r="A24" s="3">
        <v>45586</v>
      </c>
      <c r="B24" t="s">
        <v>7</v>
      </c>
      <c r="C24" s="6">
        <v>508</v>
      </c>
      <c r="D24" s="6">
        <v>69</v>
      </c>
      <c r="E24" s="6">
        <v>23492</v>
      </c>
      <c r="F24">
        <v>3.16</v>
      </c>
      <c r="G24" s="6">
        <v>42824</v>
      </c>
    </row>
    <row r="25" spans="1:7" x14ac:dyDescent="0.3">
      <c r="A25" s="3">
        <v>45593</v>
      </c>
      <c r="B25" t="s">
        <v>7</v>
      </c>
      <c r="C25" s="6">
        <v>859</v>
      </c>
      <c r="D25" s="6">
        <v>473</v>
      </c>
      <c r="E25" s="6">
        <v>209987</v>
      </c>
      <c r="F25">
        <v>4.46</v>
      </c>
      <c r="G25" s="6">
        <v>30214</v>
      </c>
    </row>
    <row r="26" spans="1:7" x14ac:dyDescent="0.3">
      <c r="A26" s="3">
        <v>45600</v>
      </c>
      <c r="B26" t="s">
        <v>7</v>
      </c>
      <c r="C26" s="6">
        <v>947</v>
      </c>
      <c r="D26" s="6">
        <v>407</v>
      </c>
      <c r="E26" s="6">
        <v>319186</v>
      </c>
      <c r="F26">
        <v>3.32</v>
      </c>
      <c r="G26" s="6">
        <v>4996</v>
      </c>
    </row>
    <row r="27" spans="1:7" x14ac:dyDescent="0.3">
      <c r="A27" s="3">
        <v>45607</v>
      </c>
      <c r="B27" t="s">
        <v>7</v>
      </c>
      <c r="C27" s="6">
        <v>171</v>
      </c>
      <c r="D27" s="6">
        <v>277</v>
      </c>
      <c r="E27" s="6">
        <v>309483</v>
      </c>
      <c r="F27">
        <v>8.6999999999999993</v>
      </c>
      <c r="G27" s="6">
        <v>38452</v>
      </c>
    </row>
    <row r="28" spans="1:7" x14ac:dyDescent="0.3">
      <c r="A28" s="3">
        <v>45614</v>
      </c>
      <c r="B28" t="s">
        <v>7</v>
      </c>
      <c r="C28" s="6">
        <v>513</v>
      </c>
      <c r="D28" s="6">
        <v>441</v>
      </c>
      <c r="E28" s="6">
        <v>338847</v>
      </c>
      <c r="F28">
        <v>2.68</v>
      </c>
      <c r="G28" s="6">
        <v>39997</v>
      </c>
    </row>
    <row r="29" spans="1:7" x14ac:dyDescent="0.3">
      <c r="A29" s="3">
        <v>45621</v>
      </c>
      <c r="B29" t="s">
        <v>7</v>
      </c>
      <c r="C29" s="6">
        <v>1710</v>
      </c>
      <c r="D29" s="6">
        <v>378</v>
      </c>
      <c r="E29" s="6">
        <v>336661</v>
      </c>
      <c r="F29">
        <v>6.2</v>
      </c>
      <c r="G29" s="6">
        <v>28498</v>
      </c>
    </row>
    <row r="30" spans="1:7" x14ac:dyDescent="0.3">
      <c r="A30" s="3">
        <v>45628</v>
      </c>
      <c r="B30" t="s">
        <v>7</v>
      </c>
      <c r="C30" s="6">
        <v>1902</v>
      </c>
      <c r="D30" s="6">
        <v>196</v>
      </c>
      <c r="E30" s="6">
        <v>470269</v>
      </c>
      <c r="F30">
        <v>4.79</v>
      </c>
      <c r="G30" s="6">
        <v>26103</v>
      </c>
    </row>
    <row r="31" spans="1:7" x14ac:dyDescent="0.3">
      <c r="A31" s="3">
        <v>45635</v>
      </c>
      <c r="B31" t="s">
        <v>7</v>
      </c>
      <c r="C31" s="6">
        <v>1514</v>
      </c>
      <c r="D31" s="6">
        <v>141</v>
      </c>
      <c r="E31" s="6">
        <v>35842</v>
      </c>
      <c r="F31">
        <v>7.47</v>
      </c>
      <c r="G31" s="6">
        <v>18601</v>
      </c>
    </row>
    <row r="32" spans="1:7" x14ac:dyDescent="0.3">
      <c r="A32" s="3">
        <v>45642</v>
      </c>
      <c r="B32" t="s">
        <v>7</v>
      </c>
      <c r="C32" s="6">
        <v>1623</v>
      </c>
      <c r="D32" s="6">
        <v>246</v>
      </c>
      <c r="E32" s="6">
        <v>415815</v>
      </c>
      <c r="F32">
        <v>8.11</v>
      </c>
      <c r="G32" s="6">
        <v>18656</v>
      </c>
    </row>
    <row r="33" spans="1:7" x14ac:dyDescent="0.3">
      <c r="A33" s="3">
        <v>45649</v>
      </c>
      <c r="B33" t="s">
        <v>7</v>
      </c>
      <c r="C33" s="6">
        <v>1155</v>
      </c>
      <c r="D33" s="6">
        <v>425</v>
      </c>
      <c r="E33" s="6">
        <v>93347</v>
      </c>
      <c r="F33">
        <v>2.02</v>
      </c>
      <c r="G33" s="6">
        <v>47502</v>
      </c>
    </row>
    <row r="34" spans="1:7" x14ac:dyDescent="0.3">
      <c r="A34" s="3">
        <v>45656</v>
      </c>
      <c r="B34" t="s">
        <v>7</v>
      </c>
      <c r="C34" s="6">
        <v>1980</v>
      </c>
      <c r="D34" s="6">
        <v>204</v>
      </c>
      <c r="E34" s="6">
        <v>379431</v>
      </c>
      <c r="F34">
        <v>3.09</v>
      </c>
      <c r="G34" s="6">
        <v>25140</v>
      </c>
    </row>
    <row r="35" spans="1:7" x14ac:dyDescent="0.3">
      <c r="A35" s="3">
        <v>45663</v>
      </c>
      <c r="B35" t="s">
        <v>7</v>
      </c>
      <c r="C35" s="6">
        <v>816</v>
      </c>
      <c r="D35" s="6">
        <v>196</v>
      </c>
      <c r="E35" s="6">
        <v>95728</v>
      </c>
      <c r="F35">
        <v>8.1999999999999993</v>
      </c>
      <c r="G35" s="6">
        <v>17951</v>
      </c>
    </row>
    <row r="36" spans="1:7" x14ac:dyDescent="0.3">
      <c r="A36" s="3">
        <v>45670</v>
      </c>
      <c r="B36" t="s">
        <v>7</v>
      </c>
      <c r="C36" s="6">
        <v>651</v>
      </c>
      <c r="D36" s="6">
        <v>353</v>
      </c>
      <c r="E36" s="6">
        <v>224699</v>
      </c>
      <c r="F36">
        <v>5.61</v>
      </c>
      <c r="G36" s="6">
        <v>45708</v>
      </c>
    </row>
    <row r="37" spans="1:7" x14ac:dyDescent="0.3">
      <c r="A37" s="3">
        <v>45677</v>
      </c>
      <c r="B37" t="s">
        <v>7</v>
      </c>
      <c r="C37" s="6">
        <v>663</v>
      </c>
      <c r="D37" s="6">
        <v>236</v>
      </c>
      <c r="E37" s="6">
        <v>479490</v>
      </c>
      <c r="F37">
        <v>4.51</v>
      </c>
      <c r="G37" s="6">
        <v>23853</v>
      </c>
    </row>
    <row r="38" spans="1:7" x14ac:dyDescent="0.3">
      <c r="A38" s="3">
        <v>45684</v>
      </c>
      <c r="B38" t="s">
        <v>7</v>
      </c>
      <c r="C38" s="6">
        <v>1249</v>
      </c>
      <c r="D38" s="6">
        <v>351</v>
      </c>
      <c r="E38" s="6">
        <v>321307</v>
      </c>
      <c r="F38">
        <v>6.37</v>
      </c>
      <c r="G38" s="6">
        <v>20560</v>
      </c>
    </row>
    <row r="39" spans="1:7" x14ac:dyDescent="0.3">
      <c r="A39" s="3">
        <v>45691</v>
      </c>
      <c r="B39" t="s">
        <v>7</v>
      </c>
      <c r="C39" s="6">
        <v>1159</v>
      </c>
      <c r="D39" s="6">
        <v>411</v>
      </c>
      <c r="E39" s="6">
        <v>135987</v>
      </c>
      <c r="F39">
        <v>8.6999999999999993</v>
      </c>
      <c r="G39" s="6">
        <v>40323</v>
      </c>
    </row>
    <row r="40" spans="1:7" x14ac:dyDescent="0.3">
      <c r="A40" s="3">
        <v>45698</v>
      </c>
      <c r="B40" t="s">
        <v>7</v>
      </c>
      <c r="C40" s="6">
        <v>1294</v>
      </c>
      <c r="D40" s="6">
        <v>382</v>
      </c>
      <c r="E40" s="6">
        <v>309914</v>
      </c>
      <c r="F40">
        <v>8.0299999999999994</v>
      </c>
      <c r="G40" s="6">
        <v>23489</v>
      </c>
    </row>
    <row r="41" spans="1:7" x14ac:dyDescent="0.3">
      <c r="A41" s="3">
        <v>45705</v>
      </c>
      <c r="B41" t="s">
        <v>7</v>
      </c>
      <c r="C41" s="6">
        <v>1895</v>
      </c>
      <c r="D41" s="6">
        <v>305</v>
      </c>
      <c r="E41" s="6">
        <v>104967</v>
      </c>
      <c r="F41">
        <v>3.85</v>
      </c>
      <c r="G41" s="6">
        <v>31853</v>
      </c>
    </row>
    <row r="42" spans="1:7" x14ac:dyDescent="0.3">
      <c r="A42" s="3">
        <v>45712</v>
      </c>
      <c r="B42" t="s">
        <v>7</v>
      </c>
      <c r="C42" s="6">
        <v>1884</v>
      </c>
      <c r="D42" s="6">
        <v>177</v>
      </c>
      <c r="E42" s="6">
        <v>230448</v>
      </c>
      <c r="F42">
        <v>7.8</v>
      </c>
      <c r="G42" s="6">
        <v>22713</v>
      </c>
    </row>
    <row r="43" spans="1:7" x14ac:dyDescent="0.3">
      <c r="A43" s="3">
        <v>45719</v>
      </c>
      <c r="B43" t="s">
        <v>7</v>
      </c>
      <c r="C43" s="6">
        <v>345</v>
      </c>
      <c r="D43" s="6">
        <v>464</v>
      </c>
      <c r="E43" s="6">
        <v>366881</v>
      </c>
      <c r="F43">
        <v>4.55</v>
      </c>
      <c r="G43" s="6">
        <v>20553</v>
      </c>
    </row>
    <row r="44" spans="1:7" x14ac:dyDescent="0.3">
      <c r="A44" s="3">
        <v>45726</v>
      </c>
      <c r="B44" t="s">
        <v>7</v>
      </c>
      <c r="C44" s="6">
        <v>1098</v>
      </c>
      <c r="D44" s="6">
        <v>190</v>
      </c>
      <c r="E44" s="6">
        <v>340842</v>
      </c>
      <c r="F44">
        <v>9.39</v>
      </c>
      <c r="G44" s="6">
        <v>21539</v>
      </c>
    </row>
    <row r="45" spans="1:7" x14ac:dyDescent="0.3">
      <c r="A45" s="3">
        <v>45733</v>
      </c>
      <c r="B45" t="s">
        <v>7</v>
      </c>
      <c r="C45" s="6">
        <v>1358</v>
      </c>
      <c r="D45" s="6">
        <v>242</v>
      </c>
      <c r="E45" s="6">
        <v>342129</v>
      </c>
      <c r="F45">
        <v>4.9400000000000004</v>
      </c>
      <c r="G45" s="6">
        <v>29116</v>
      </c>
    </row>
    <row r="46" spans="1:7" x14ac:dyDescent="0.3">
      <c r="A46" s="3">
        <v>45740</v>
      </c>
      <c r="B46" t="s">
        <v>7</v>
      </c>
      <c r="C46" s="6">
        <v>609</v>
      </c>
      <c r="D46" s="6">
        <v>135</v>
      </c>
      <c r="E46" s="6">
        <v>373606</v>
      </c>
      <c r="F46">
        <v>8.52</v>
      </c>
      <c r="G46" s="6">
        <v>21453</v>
      </c>
    </row>
    <row r="47" spans="1:7" x14ac:dyDescent="0.3">
      <c r="A47" s="3">
        <v>45747</v>
      </c>
      <c r="B47" t="s">
        <v>7</v>
      </c>
      <c r="C47" s="6">
        <v>988</v>
      </c>
      <c r="D47" s="6">
        <v>474</v>
      </c>
      <c r="E47" s="6">
        <v>370070</v>
      </c>
      <c r="F47">
        <v>9.4600000000000009</v>
      </c>
      <c r="G47" s="6">
        <v>23461</v>
      </c>
    </row>
    <row r="48" spans="1:7" x14ac:dyDescent="0.3">
      <c r="A48" s="3">
        <v>45754</v>
      </c>
      <c r="B48" t="s">
        <v>7</v>
      </c>
      <c r="C48" s="6">
        <v>1307</v>
      </c>
      <c r="D48" s="6">
        <v>278</v>
      </c>
      <c r="E48" s="6">
        <v>98596</v>
      </c>
      <c r="F48">
        <v>2.4900000000000002</v>
      </c>
      <c r="G48" s="6">
        <v>47603</v>
      </c>
    </row>
    <row r="49" spans="1:7" x14ac:dyDescent="0.3">
      <c r="A49" s="3">
        <v>45761</v>
      </c>
      <c r="B49" t="s">
        <v>7</v>
      </c>
      <c r="C49" s="6">
        <v>198</v>
      </c>
      <c r="D49" s="6">
        <v>373</v>
      </c>
      <c r="E49" s="6">
        <v>70707</v>
      </c>
      <c r="F49">
        <v>4.83</v>
      </c>
      <c r="G49" s="6">
        <v>25920</v>
      </c>
    </row>
    <row r="50" spans="1:7" x14ac:dyDescent="0.3">
      <c r="A50" s="3">
        <v>45768</v>
      </c>
      <c r="B50" t="s">
        <v>7</v>
      </c>
      <c r="C50" s="6">
        <v>1375</v>
      </c>
      <c r="D50" s="6">
        <v>330</v>
      </c>
      <c r="E50" s="6">
        <v>377382</v>
      </c>
      <c r="F50">
        <v>2.6</v>
      </c>
      <c r="G50" s="6">
        <v>7875</v>
      </c>
    </row>
    <row r="51" spans="1:7" x14ac:dyDescent="0.3">
      <c r="A51" s="3">
        <v>45775</v>
      </c>
      <c r="B51" t="s">
        <v>7</v>
      </c>
      <c r="C51" s="6">
        <v>833</v>
      </c>
      <c r="D51" s="6">
        <v>380</v>
      </c>
      <c r="E51" s="6">
        <v>224830</v>
      </c>
      <c r="F51">
        <v>3.86</v>
      </c>
      <c r="G51" s="6">
        <v>3582</v>
      </c>
    </row>
    <row r="52" spans="1:7" x14ac:dyDescent="0.3">
      <c r="A52" s="3">
        <v>45782</v>
      </c>
      <c r="B52" t="s">
        <v>7</v>
      </c>
      <c r="C52" s="6">
        <v>405</v>
      </c>
      <c r="D52" s="6">
        <v>66</v>
      </c>
      <c r="E52" s="6">
        <v>418696</v>
      </c>
      <c r="F52">
        <v>5.59</v>
      </c>
      <c r="G52" s="6">
        <v>48419</v>
      </c>
    </row>
    <row r="53" spans="1:7" x14ac:dyDescent="0.3">
      <c r="A53" s="3">
        <v>45789</v>
      </c>
      <c r="B53" t="s">
        <v>7</v>
      </c>
      <c r="C53" s="6">
        <v>837</v>
      </c>
      <c r="D53" s="6">
        <v>430</v>
      </c>
      <c r="E53" s="6">
        <v>364820</v>
      </c>
      <c r="F53">
        <v>4</v>
      </c>
      <c r="G53" s="6">
        <v>49400</v>
      </c>
    </row>
    <row r="54" spans="1:7" x14ac:dyDescent="0.3">
      <c r="A54" s="3">
        <v>45446</v>
      </c>
      <c r="B54" t="s">
        <v>8</v>
      </c>
      <c r="C54" s="6">
        <v>1135</v>
      </c>
      <c r="D54" s="6">
        <v>88</v>
      </c>
      <c r="E54" s="6">
        <v>344084</v>
      </c>
      <c r="F54">
        <v>8.06</v>
      </c>
      <c r="G54" s="6">
        <v>5904</v>
      </c>
    </row>
    <row r="55" spans="1:7" x14ac:dyDescent="0.3">
      <c r="A55" s="3">
        <v>45453</v>
      </c>
      <c r="B55" t="s">
        <v>8</v>
      </c>
      <c r="C55" s="6">
        <v>656</v>
      </c>
      <c r="D55" s="6">
        <v>139</v>
      </c>
      <c r="E55" s="6">
        <v>49157</v>
      </c>
      <c r="F55">
        <v>9.0500000000000007</v>
      </c>
      <c r="G55" s="6">
        <v>9920</v>
      </c>
    </row>
    <row r="56" spans="1:7" x14ac:dyDescent="0.3">
      <c r="A56" s="3">
        <v>45460</v>
      </c>
      <c r="B56" t="s">
        <v>8</v>
      </c>
      <c r="C56" s="6">
        <v>1048</v>
      </c>
      <c r="D56" s="6">
        <v>155</v>
      </c>
      <c r="E56" s="6">
        <v>456946</v>
      </c>
      <c r="F56">
        <v>2.46</v>
      </c>
      <c r="G56" s="6">
        <v>11329</v>
      </c>
    </row>
    <row r="57" spans="1:7" x14ac:dyDescent="0.3">
      <c r="A57" s="3">
        <v>45467</v>
      </c>
      <c r="B57" t="s">
        <v>8</v>
      </c>
      <c r="C57" s="6">
        <v>911</v>
      </c>
      <c r="D57" s="6">
        <v>282</v>
      </c>
      <c r="E57" s="6">
        <v>35664</v>
      </c>
      <c r="F57">
        <v>6.92</v>
      </c>
      <c r="G57" s="6">
        <v>18050</v>
      </c>
    </row>
    <row r="58" spans="1:7" x14ac:dyDescent="0.3">
      <c r="A58" s="3">
        <v>45474</v>
      </c>
      <c r="B58" t="s">
        <v>8</v>
      </c>
      <c r="C58" s="6">
        <v>226</v>
      </c>
      <c r="D58" s="6">
        <v>445</v>
      </c>
      <c r="E58" s="6">
        <v>419447</v>
      </c>
      <c r="F58">
        <v>9.36</v>
      </c>
      <c r="G58" s="6">
        <v>9566</v>
      </c>
    </row>
    <row r="59" spans="1:7" x14ac:dyDescent="0.3">
      <c r="A59" s="3">
        <v>45481</v>
      </c>
      <c r="B59" t="s">
        <v>8</v>
      </c>
      <c r="C59" s="6">
        <v>1757</v>
      </c>
      <c r="D59" s="6">
        <v>85</v>
      </c>
      <c r="E59" s="6">
        <v>58223</v>
      </c>
      <c r="F59">
        <v>8.74</v>
      </c>
      <c r="G59" s="6">
        <v>22728</v>
      </c>
    </row>
    <row r="60" spans="1:7" x14ac:dyDescent="0.3">
      <c r="A60" s="3">
        <v>45488</v>
      </c>
      <c r="B60" t="s">
        <v>8</v>
      </c>
      <c r="C60" s="6">
        <v>1960</v>
      </c>
      <c r="D60" s="6">
        <v>115</v>
      </c>
      <c r="E60" s="6">
        <v>154169</v>
      </c>
      <c r="F60">
        <v>3.74</v>
      </c>
      <c r="G60" s="6">
        <v>10740</v>
      </c>
    </row>
    <row r="61" spans="1:7" x14ac:dyDescent="0.3">
      <c r="A61" s="3">
        <v>45495</v>
      </c>
      <c r="B61" t="s">
        <v>8</v>
      </c>
      <c r="C61" s="6">
        <v>508</v>
      </c>
      <c r="D61" s="6">
        <v>349</v>
      </c>
      <c r="E61" s="6">
        <v>473812</v>
      </c>
      <c r="F61">
        <v>7.88</v>
      </c>
      <c r="G61" s="6">
        <v>17328</v>
      </c>
    </row>
    <row r="62" spans="1:7" x14ac:dyDescent="0.3">
      <c r="A62" s="3">
        <v>45502</v>
      </c>
      <c r="B62" t="s">
        <v>8</v>
      </c>
      <c r="C62" s="6">
        <v>653</v>
      </c>
      <c r="D62" s="6">
        <v>112</v>
      </c>
      <c r="E62" s="6">
        <v>23664</v>
      </c>
      <c r="F62">
        <v>4.05</v>
      </c>
      <c r="G62" s="6">
        <v>15353</v>
      </c>
    </row>
    <row r="63" spans="1:7" x14ac:dyDescent="0.3">
      <c r="A63" s="3">
        <v>45509</v>
      </c>
      <c r="B63" t="s">
        <v>8</v>
      </c>
      <c r="C63" s="6">
        <v>645</v>
      </c>
      <c r="D63" s="6">
        <v>293</v>
      </c>
      <c r="E63" s="6">
        <v>437968</v>
      </c>
      <c r="F63">
        <v>7.83</v>
      </c>
      <c r="G63" s="6">
        <v>49303</v>
      </c>
    </row>
    <row r="64" spans="1:7" x14ac:dyDescent="0.3">
      <c r="A64" s="3">
        <v>45516</v>
      </c>
      <c r="B64" t="s">
        <v>8</v>
      </c>
      <c r="C64" s="6">
        <v>1528</v>
      </c>
      <c r="D64" s="6">
        <v>203</v>
      </c>
      <c r="E64" s="6">
        <v>489188</v>
      </c>
      <c r="F64">
        <v>6.23</v>
      </c>
      <c r="G64" s="6">
        <v>47101</v>
      </c>
    </row>
    <row r="65" spans="1:7" x14ac:dyDescent="0.3">
      <c r="A65" s="3">
        <v>45523</v>
      </c>
      <c r="B65" t="s">
        <v>8</v>
      </c>
      <c r="C65" s="6">
        <v>215</v>
      </c>
      <c r="D65" s="6">
        <v>139</v>
      </c>
      <c r="E65" s="6">
        <v>325444</v>
      </c>
      <c r="F65">
        <v>3.25</v>
      </c>
      <c r="G65" s="6">
        <v>35501</v>
      </c>
    </row>
    <row r="66" spans="1:7" x14ac:dyDescent="0.3">
      <c r="A66" s="3">
        <v>45530</v>
      </c>
      <c r="B66" t="s">
        <v>8</v>
      </c>
      <c r="C66" s="6">
        <v>1685</v>
      </c>
      <c r="D66" s="6">
        <v>76</v>
      </c>
      <c r="E66" s="6">
        <v>453799</v>
      </c>
      <c r="F66">
        <v>5.71</v>
      </c>
      <c r="G66" s="6">
        <v>24913</v>
      </c>
    </row>
    <row r="67" spans="1:7" x14ac:dyDescent="0.3">
      <c r="A67" s="3">
        <v>45537</v>
      </c>
      <c r="B67" t="s">
        <v>8</v>
      </c>
      <c r="C67" s="6">
        <v>1429</v>
      </c>
      <c r="D67" s="6">
        <v>182</v>
      </c>
      <c r="E67" s="6">
        <v>101332</v>
      </c>
      <c r="F67">
        <v>7.16</v>
      </c>
      <c r="G67" s="6">
        <v>37829</v>
      </c>
    </row>
    <row r="68" spans="1:7" x14ac:dyDescent="0.3">
      <c r="A68" s="3">
        <v>45544</v>
      </c>
      <c r="B68" t="s">
        <v>8</v>
      </c>
      <c r="C68" s="6">
        <v>1592</v>
      </c>
      <c r="D68" s="6">
        <v>20</v>
      </c>
      <c r="E68" s="6">
        <v>378054</v>
      </c>
      <c r="F68">
        <v>9.09</v>
      </c>
      <c r="G68" s="6">
        <v>26663</v>
      </c>
    </row>
    <row r="69" spans="1:7" x14ac:dyDescent="0.3">
      <c r="A69" s="3">
        <v>45551</v>
      </c>
      <c r="B69" t="s">
        <v>8</v>
      </c>
      <c r="C69" s="6">
        <v>778</v>
      </c>
      <c r="D69" s="6">
        <v>401</v>
      </c>
      <c r="E69" s="6">
        <v>50793</v>
      </c>
      <c r="F69">
        <v>3.4</v>
      </c>
      <c r="G69" s="6">
        <v>21939</v>
      </c>
    </row>
    <row r="70" spans="1:7" x14ac:dyDescent="0.3">
      <c r="A70" s="3">
        <v>45558</v>
      </c>
      <c r="B70" t="s">
        <v>8</v>
      </c>
      <c r="C70" s="6">
        <v>817</v>
      </c>
      <c r="D70" s="6">
        <v>151</v>
      </c>
      <c r="E70" s="6">
        <v>422625</v>
      </c>
      <c r="F70">
        <v>2.36</v>
      </c>
      <c r="G70" s="6">
        <v>1083</v>
      </c>
    </row>
    <row r="71" spans="1:7" x14ac:dyDescent="0.3">
      <c r="A71" s="3">
        <v>45565</v>
      </c>
      <c r="B71" t="s">
        <v>8</v>
      </c>
      <c r="C71" s="6">
        <v>1433</v>
      </c>
      <c r="D71" s="6">
        <v>408</v>
      </c>
      <c r="E71" s="6">
        <v>370269</v>
      </c>
      <c r="F71">
        <v>3.3</v>
      </c>
      <c r="G71" s="6">
        <v>30575</v>
      </c>
    </row>
    <row r="72" spans="1:7" x14ac:dyDescent="0.3">
      <c r="A72" s="3">
        <v>45572</v>
      </c>
      <c r="B72" t="s">
        <v>8</v>
      </c>
      <c r="C72" s="6">
        <v>1939</v>
      </c>
      <c r="D72" s="6">
        <v>67</v>
      </c>
      <c r="E72" s="6">
        <v>187183</v>
      </c>
      <c r="F72">
        <v>6.25</v>
      </c>
      <c r="G72" s="6">
        <v>41215</v>
      </c>
    </row>
    <row r="73" spans="1:7" x14ac:dyDescent="0.3">
      <c r="A73" s="3">
        <v>45579</v>
      </c>
      <c r="B73" t="s">
        <v>8</v>
      </c>
      <c r="C73" s="6">
        <v>1527</v>
      </c>
      <c r="D73" s="6">
        <v>303</v>
      </c>
      <c r="E73" s="6">
        <v>388555</v>
      </c>
      <c r="F73">
        <v>8.9</v>
      </c>
      <c r="G73" s="6">
        <v>36397</v>
      </c>
    </row>
    <row r="74" spans="1:7" x14ac:dyDescent="0.3">
      <c r="A74" s="3">
        <v>45586</v>
      </c>
      <c r="B74" t="s">
        <v>8</v>
      </c>
      <c r="C74" s="6">
        <v>703</v>
      </c>
      <c r="D74" s="6">
        <v>441</v>
      </c>
      <c r="E74" s="6">
        <v>357089</v>
      </c>
      <c r="F74">
        <v>6.5</v>
      </c>
      <c r="G74" s="6">
        <v>32478</v>
      </c>
    </row>
    <row r="75" spans="1:7" x14ac:dyDescent="0.3">
      <c r="A75" s="3">
        <v>45593</v>
      </c>
      <c r="B75" t="s">
        <v>8</v>
      </c>
      <c r="C75" s="6">
        <v>642</v>
      </c>
      <c r="D75" s="6">
        <v>66</v>
      </c>
      <c r="E75" s="6">
        <v>346522</v>
      </c>
      <c r="F75">
        <v>5.85</v>
      </c>
      <c r="G75" s="6">
        <v>13116</v>
      </c>
    </row>
    <row r="76" spans="1:7" x14ac:dyDescent="0.3">
      <c r="A76" s="3">
        <v>45600</v>
      </c>
      <c r="B76" t="s">
        <v>8</v>
      </c>
      <c r="C76" s="6">
        <v>1466</v>
      </c>
      <c r="D76" s="6">
        <v>69</v>
      </c>
      <c r="E76" s="6">
        <v>54935</v>
      </c>
      <c r="F76">
        <v>6.85</v>
      </c>
      <c r="G76" s="6">
        <v>36484</v>
      </c>
    </row>
    <row r="77" spans="1:7" x14ac:dyDescent="0.3">
      <c r="A77" s="3">
        <v>45607</v>
      </c>
      <c r="B77" t="s">
        <v>8</v>
      </c>
      <c r="C77" s="6">
        <v>1075</v>
      </c>
      <c r="D77" s="6">
        <v>173</v>
      </c>
      <c r="E77" s="6">
        <v>51395</v>
      </c>
      <c r="F77">
        <v>4.66</v>
      </c>
      <c r="G77" s="6">
        <v>47812</v>
      </c>
    </row>
    <row r="78" spans="1:7" x14ac:dyDescent="0.3">
      <c r="A78" s="3">
        <v>45614</v>
      </c>
      <c r="B78" t="s">
        <v>8</v>
      </c>
      <c r="C78" s="6">
        <v>187</v>
      </c>
      <c r="D78" s="6">
        <v>236</v>
      </c>
      <c r="E78" s="6">
        <v>51087</v>
      </c>
      <c r="F78">
        <v>9.41</v>
      </c>
      <c r="G78" s="6">
        <v>29533</v>
      </c>
    </row>
    <row r="79" spans="1:7" x14ac:dyDescent="0.3">
      <c r="A79" s="3">
        <v>45621</v>
      </c>
      <c r="B79" t="s">
        <v>8</v>
      </c>
      <c r="C79" s="6">
        <v>1854</v>
      </c>
      <c r="D79" s="6">
        <v>161</v>
      </c>
      <c r="E79" s="6">
        <v>282466</v>
      </c>
      <c r="F79">
        <v>5.17</v>
      </c>
      <c r="G79" s="6">
        <v>1810</v>
      </c>
    </row>
    <row r="80" spans="1:7" x14ac:dyDescent="0.3">
      <c r="A80" s="3">
        <v>45628</v>
      </c>
      <c r="B80" t="s">
        <v>8</v>
      </c>
      <c r="C80" s="6">
        <v>1696</v>
      </c>
      <c r="D80" s="6">
        <v>71</v>
      </c>
      <c r="E80" s="6">
        <v>421957</v>
      </c>
      <c r="F80">
        <v>3.79</v>
      </c>
      <c r="G80" s="6">
        <v>36103</v>
      </c>
    </row>
    <row r="81" spans="1:7" x14ac:dyDescent="0.3">
      <c r="A81" s="3">
        <v>45635</v>
      </c>
      <c r="B81" t="s">
        <v>8</v>
      </c>
      <c r="C81" s="6">
        <v>1494</v>
      </c>
      <c r="D81" s="6">
        <v>375</v>
      </c>
      <c r="E81" s="6">
        <v>220616</v>
      </c>
      <c r="F81">
        <v>1.81</v>
      </c>
      <c r="G81" s="6">
        <v>22724</v>
      </c>
    </row>
    <row r="82" spans="1:7" x14ac:dyDescent="0.3">
      <c r="A82" s="3">
        <v>45642</v>
      </c>
      <c r="B82" t="s">
        <v>8</v>
      </c>
      <c r="C82" s="6">
        <v>1502</v>
      </c>
      <c r="D82" s="6">
        <v>70</v>
      </c>
      <c r="E82" s="6">
        <v>465553</v>
      </c>
      <c r="F82">
        <v>3.32</v>
      </c>
      <c r="G82" s="6">
        <v>20692</v>
      </c>
    </row>
    <row r="83" spans="1:7" x14ac:dyDescent="0.3">
      <c r="A83" s="3">
        <v>45649</v>
      </c>
      <c r="B83" t="s">
        <v>8</v>
      </c>
      <c r="C83" s="6">
        <v>1092</v>
      </c>
      <c r="D83" s="6">
        <v>408</v>
      </c>
      <c r="E83" s="6">
        <v>280795</v>
      </c>
      <c r="F83">
        <v>8.44</v>
      </c>
      <c r="G83" s="6">
        <v>4683</v>
      </c>
    </row>
    <row r="84" spans="1:7" x14ac:dyDescent="0.3">
      <c r="A84" s="3">
        <v>45656</v>
      </c>
      <c r="B84" t="s">
        <v>8</v>
      </c>
      <c r="C84" s="6">
        <v>1814</v>
      </c>
      <c r="D84" s="6">
        <v>49</v>
      </c>
      <c r="E84" s="6">
        <v>140804</v>
      </c>
      <c r="F84">
        <v>1.76</v>
      </c>
      <c r="G84" s="6">
        <v>4313</v>
      </c>
    </row>
    <row r="85" spans="1:7" x14ac:dyDescent="0.3">
      <c r="A85" s="3">
        <v>45663</v>
      </c>
      <c r="B85" t="s">
        <v>8</v>
      </c>
      <c r="C85" s="6">
        <v>1013</v>
      </c>
      <c r="D85" s="6">
        <v>110</v>
      </c>
      <c r="E85" s="6">
        <v>466382</v>
      </c>
      <c r="F85">
        <v>5.3</v>
      </c>
      <c r="G85" s="6">
        <v>37132</v>
      </c>
    </row>
    <row r="86" spans="1:7" x14ac:dyDescent="0.3">
      <c r="A86" s="3">
        <v>45670</v>
      </c>
      <c r="B86" t="s">
        <v>8</v>
      </c>
      <c r="C86" s="6">
        <v>1855</v>
      </c>
      <c r="D86" s="6">
        <v>133</v>
      </c>
      <c r="E86" s="6">
        <v>349413</v>
      </c>
      <c r="F86">
        <v>3.3</v>
      </c>
      <c r="G86" s="6">
        <v>14548</v>
      </c>
    </row>
    <row r="87" spans="1:7" x14ac:dyDescent="0.3">
      <c r="A87" s="3">
        <v>45677</v>
      </c>
      <c r="B87" t="s">
        <v>8</v>
      </c>
      <c r="C87" s="6">
        <v>1748</v>
      </c>
      <c r="D87" s="6">
        <v>176</v>
      </c>
      <c r="E87" s="6">
        <v>383681</v>
      </c>
      <c r="F87">
        <v>9.24</v>
      </c>
      <c r="G87" s="6">
        <v>43122</v>
      </c>
    </row>
    <row r="88" spans="1:7" x14ac:dyDescent="0.3">
      <c r="A88" s="3">
        <v>45684</v>
      </c>
      <c r="B88" t="s">
        <v>8</v>
      </c>
      <c r="C88" s="6">
        <v>115</v>
      </c>
      <c r="D88" s="6">
        <v>281</v>
      </c>
      <c r="E88" s="6">
        <v>357265</v>
      </c>
      <c r="F88">
        <v>9.23</v>
      </c>
      <c r="G88" s="6">
        <v>25525</v>
      </c>
    </row>
    <row r="89" spans="1:7" x14ac:dyDescent="0.3">
      <c r="A89" s="3">
        <v>45691</v>
      </c>
      <c r="B89" t="s">
        <v>8</v>
      </c>
      <c r="C89" s="6">
        <v>1556</v>
      </c>
      <c r="D89" s="6">
        <v>476</v>
      </c>
      <c r="E89" s="6">
        <v>351556</v>
      </c>
      <c r="F89">
        <v>3.89</v>
      </c>
      <c r="G89" s="6">
        <v>10825</v>
      </c>
    </row>
    <row r="90" spans="1:7" x14ac:dyDescent="0.3">
      <c r="A90" s="3">
        <v>45698</v>
      </c>
      <c r="B90" t="s">
        <v>8</v>
      </c>
      <c r="C90" s="6">
        <v>1957</v>
      </c>
      <c r="D90" s="6">
        <v>234</v>
      </c>
      <c r="E90" s="6">
        <v>222126</v>
      </c>
      <c r="F90">
        <v>4.6100000000000003</v>
      </c>
      <c r="G90" s="6">
        <v>3314</v>
      </c>
    </row>
    <row r="91" spans="1:7" x14ac:dyDescent="0.3">
      <c r="A91" s="3">
        <v>45705</v>
      </c>
      <c r="B91" t="s">
        <v>8</v>
      </c>
      <c r="C91" s="6">
        <v>1138</v>
      </c>
      <c r="D91" s="6">
        <v>173</v>
      </c>
      <c r="E91" s="6">
        <v>453243</v>
      </c>
      <c r="F91">
        <v>2.86</v>
      </c>
      <c r="G91" s="6">
        <v>44097</v>
      </c>
    </row>
    <row r="92" spans="1:7" x14ac:dyDescent="0.3">
      <c r="A92" s="3">
        <v>45712</v>
      </c>
      <c r="B92" t="s">
        <v>8</v>
      </c>
      <c r="C92" s="6">
        <v>1440</v>
      </c>
      <c r="D92" s="6">
        <v>65</v>
      </c>
      <c r="E92" s="6">
        <v>126524</v>
      </c>
      <c r="F92">
        <v>4.34</v>
      </c>
      <c r="G92" s="6">
        <v>49772</v>
      </c>
    </row>
    <row r="93" spans="1:7" x14ac:dyDescent="0.3">
      <c r="A93" s="3">
        <v>45719</v>
      </c>
      <c r="B93" t="s">
        <v>8</v>
      </c>
      <c r="C93" s="6">
        <v>1371</v>
      </c>
      <c r="D93" s="6">
        <v>56</v>
      </c>
      <c r="E93" s="6">
        <v>257579</v>
      </c>
      <c r="F93">
        <v>8.6199999999999992</v>
      </c>
      <c r="G93" s="6">
        <v>33799</v>
      </c>
    </row>
    <row r="94" spans="1:7" x14ac:dyDescent="0.3">
      <c r="A94" s="3">
        <v>45726</v>
      </c>
      <c r="B94" t="s">
        <v>8</v>
      </c>
      <c r="C94" s="6">
        <v>393</v>
      </c>
      <c r="D94" s="6">
        <v>181</v>
      </c>
      <c r="E94" s="6">
        <v>462142</v>
      </c>
      <c r="F94">
        <v>7.23</v>
      </c>
      <c r="G94" s="6">
        <v>6296</v>
      </c>
    </row>
    <row r="95" spans="1:7" x14ac:dyDescent="0.3">
      <c r="A95" s="3">
        <v>45733</v>
      </c>
      <c r="B95" t="s">
        <v>8</v>
      </c>
      <c r="C95" s="6">
        <v>1102</v>
      </c>
      <c r="D95" s="6">
        <v>422</v>
      </c>
      <c r="E95" s="6">
        <v>410330</v>
      </c>
      <c r="F95">
        <v>7.74</v>
      </c>
      <c r="G95" s="6">
        <v>9480</v>
      </c>
    </row>
    <row r="96" spans="1:7" x14ac:dyDescent="0.3">
      <c r="A96" s="3">
        <v>45740</v>
      </c>
      <c r="B96" t="s">
        <v>8</v>
      </c>
      <c r="C96" s="6">
        <v>490</v>
      </c>
      <c r="D96" s="6">
        <v>29</v>
      </c>
      <c r="E96" s="6">
        <v>364810</v>
      </c>
      <c r="F96">
        <v>1.53</v>
      </c>
      <c r="G96" s="6">
        <v>49077</v>
      </c>
    </row>
    <row r="97" spans="1:7" x14ac:dyDescent="0.3">
      <c r="A97" s="3">
        <v>45747</v>
      </c>
      <c r="B97" t="s">
        <v>8</v>
      </c>
      <c r="C97" s="6">
        <v>1033</v>
      </c>
      <c r="D97" s="6">
        <v>392</v>
      </c>
      <c r="E97" s="6">
        <v>282780</v>
      </c>
      <c r="F97">
        <v>6.27</v>
      </c>
      <c r="G97" s="6">
        <v>23140</v>
      </c>
    </row>
    <row r="98" spans="1:7" x14ac:dyDescent="0.3">
      <c r="A98" s="3">
        <v>45754</v>
      </c>
      <c r="B98" t="s">
        <v>8</v>
      </c>
      <c r="C98" s="6">
        <v>559</v>
      </c>
      <c r="D98" s="6">
        <v>392</v>
      </c>
      <c r="E98" s="6">
        <v>78789</v>
      </c>
      <c r="F98">
        <v>3.19</v>
      </c>
      <c r="G98" s="6">
        <v>2436</v>
      </c>
    </row>
    <row r="99" spans="1:7" x14ac:dyDescent="0.3">
      <c r="A99" s="3">
        <v>45761</v>
      </c>
      <c r="B99" t="s">
        <v>8</v>
      </c>
      <c r="C99" s="6">
        <v>198</v>
      </c>
      <c r="D99" s="6">
        <v>358</v>
      </c>
      <c r="E99" s="6">
        <v>66682</v>
      </c>
      <c r="F99">
        <v>6.73</v>
      </c>
      <c r="G99" s="6">
        <v>2293</v>
      </c>
    </row>
    <row r="100" spans="1:7" x14ac:dyDescent="0.3">
      <c r="A100" s="3">
        <v>45768</v>
      </c>
      <c r="B100" t="s">
        <v>8</v>
      </c>
      <c r="C100" s="6">
        <v>961</v>
      </c>
      <c r="D100" s="6">
        <v>358</v>
      </c>
      <c r="E100" s="6">
        <v>62942</v>
      </c>
      <c r="F100">
        <v>6.8</v>
      </c>
      <c r="G100" s="6">
        <v>18693</v>
      </c>
    </row>
    <row r="101" spans="1:7" x14ac:dyDescent="0.3">
      <c r="A101" s="3">
        <v>45775</v>
      </c>
      <c r="B101" t="s">
        <v>8</v>
      </c>
      <c r="C101" s="6">
        <v>1693</v>
      </c>
      <c r="D101" s="6">
        <v>154</v>
      </c>
      <c r="E101" s="6">
        <v>445944</v>
      </c>
      <c r="F101">
        <v>5.69</v>
      </c>
      <c r="G101" s="6">
        <v>14216</v>
      </c>
    </row>
    <row r="102" spans="1:7" x14ac:dyDescent="0.3">
      <c r="A102" s="3">
        <v>45782</v>
      </c>
      <c r="B102" t="s">
        <v>8</v>
      </c>
      <c r="C102" s="6">
        <v>1957</v>
      </c>
      <c r="D102" s="6">
        <v>76</v>
      </c>
      <c r="E102" s="6">
        <v>447902</v>
      </c>
      <c r="F102">
        <v>6.09</v>
      </c>
      <c r="G102" s="6">
        <v>33381</v>
      </c>
    </row>
    <row r="103" spans="1:7" x14ac:dyDescent="0.3">
      <c r="A103" s="3">
        <v>45789</v>
      </c>
      <c r="B103" t="s">
        <v>8</v>
      </c>
      <c r="C103" s="6">
        <v>1765</v>
      </c>
      <c r="D103" s="6">
        <v>109</v>
      </c>
      <c r="E103" s="6">
        <v>468301</v>
      </c>
      <c r="F103">
        <v>1.82</v>
      </c>
      <c r="G103" s="6">
        <v>20042</v>
      </c>
    </row>
    <row r="104" spans="1:7" x14ac:dyDescent="0.3">
      <c r="A104" s="3">
        <v>45446</v>
      </c>
      <c r="B104" t="s">
        <v>9</v>
      </c>
      <c r="C104" s="6">
        <v>584</v>
      </c>
      <c r="D104" s="6">
        <v>169</v>
      </c>
      <c r="E104" s="6">
        <v>146834</v>
      </c>
      <c r="F104">
        <v>8.31</v>
      </c>
      <c r="G104" s="6">
        <v>26752</v>
      </c>
    </row>
    <row r="105" spans="1:7" x14ac:dyDescent="0.3">
      <c r="A105" s="3">
        <v>45453</v>
      </c>
      <c r="B105" t="s">
        <v>9</v>
      </c>
      <c r="C105" s="6">
        <v>436</v>
      </c>
      <c r="D105" s="6">
        <v>250</v>
      </c>
      <c r="E105" s="6">
        <v>254347</v>
      </c>
      <c r="F105">
        <v>4.01</v>
      </c>
      <c r="G105" s="6">
        <v>8912</v>
      </c>
    </row>
    <row r="106" spans="1:7" x14ac:dyDescent="0.3">
      <c r="A106" s="3">
        <v>45460</v>
      </c>
      <c r="B106" t="s">
        <v>9</v>
      </c>
      <c r="C106" s="6">
        <v>1335</v>
      </c>
      <c r="D106" s="6">
        <v>40</v>
      </c>
      <c r="E106" s="6">
        <v>122732</v>
      </c>
      <c r="F106">
        <v>8.19</v>
      </c>
      <c r="G106" s="6">
        <v>22482</v>
      </c>
    </row>
    <row r="107" spans="1:7" x14ac:dyDescent="0.3">
      <c r="A107" s="3">
        <v>45467</v>
      </c>
      <c r="B107" t="s">
        <v>9</v>
      </c>
      <c r="C107" s="6">
        <v>1238</v>
      </c>
      <c r="D107" s="6">
        <v>403</v>
      </c>
      <c r="E107" s="6">
        <v>298421</v>
      </c>
      <c r="F107">
        <v>3.5</v>
      </c>
      <c r="G107" s="6">
        <v>31280</v>
      </c>
    </row>
    <row r="108" spans="1:7" x14ac:dyDescent="0.3">
      <c r="A108" s="3">
        <v>45474</v>
      </c>
      <c r="B108" t="s">
        <v>9</v>
      </c>
      <c r="C108" s="6">
        <v>1420</v>
      </c>
      <c r="D108" s="6">
        <v>63</v>
      </c>
      <c r="E108" s="6">
        <v>315305</v>
      </c>
      <c r="F108">
        <v>6.19</v>
      </c>
      <c r="G108" s="6">
        <v>5914</v>
      </c>
    </row>
    <row r="109" spans="1:7" x14ac:dyDescent="0.3">
      <c r="A109" s="3">
        <v>45481</v>
      </c>
      <c r="B109" t="s">
        <v>9</v>
      </c>
      <c r="C109" s="6">
        <v>987</v>
      </c>
      <c r="D109" s="6">
        <v>440</v>
      </c>
      <c r="E109" s="6">
        <v>389810</v>
      </c>
      <c r="F109">
        <v>4.66</v>
      </c>
      <c r="G109" s="6">
        <v>2932</v>
      </c>
    </row>
    <row r="110" spans="1:7" x14ac:dyDescent="0.3">
      <c r="A110" s="3">
        <v>45488</v>
      </c>
      <c r="B110" t="s">
        <v>9</v>
      </c>
      <c r="C110" s="6">
        <v>704</v>
      </c>
      <c r="D110" s="6">
        <v>275</v>
      </c>
      <c r="E110" s="6">
        <v>226002</v>
      </c>
      <c r="F110">
        <v>8.56</v>
      </c>
      <c r="G110" s="6">
        <v>32393</v>
      </c>
    </row>
    <row r="111" spans="1:7" x14ac:dyDescent="0.3">
      <c r="A111" s="3">
        <v>45495</v>
      </c>
      <c r="B111" t="s">
        <v>9</v>
      </c>
      <c r="C111" s="6">
        <v>1701</v>
      </c>
      <c r="D111" s="6">
        <v>385</v>
      </c>
      <c r="E111" s="6">
        <v>198278</v>
      </c>
      <c r="F111">
        <v>5.34</v>
      </c>
      <c r="G111" s="6">
        <v>32763</v>
      </c>
    </row>
    <row r="112" spans="1:7" x14ac:dyDescent="0.3">
      <c r="A112" s="3">
        <v>45502</v>
      </c>
      <c r="B112" t="s">
        <v>9</v>
      </c>
      <c r="C112" s="6">
        <v>1756</v>
      </c>
      <c r="D112" s="6">
        <v>261</v>
      </c>
      <c r="E112" s="6">
        <v>287574</v>
      </c>
      <c r="F112">
        <v>4.3600000000000003</v>
      </c>
      <c r="G112" s="6">
        <v>39272</v>
      </c>
    </row>
    <row r="113" spans="1:7" x14ac:dyDescent="0.3">
      <c r="A113" s="3">
        <v>45509</v>
      </c>
      <c r="B113" t="s">
        <v>9</v>
      </c>
      <c r="C113" s="6">
        <v>826</v>
      </c>
      <c r="D113" s="6">
        <v>498</v>
      </c>
      <c r="E113" s="6">
        <v>449994</v>
      </c>
      <c r="F113">
        <v>9.43</v>
      </c>
      <c r="G113" s="6">
        <v>12384</v>
      </c>
    </row>
    <row r="114" spans="1:7" x14ac:dyDescent="0.3">
      <c r="A114" s="3">
        <v>45516</v>
      </c>
      <c r="B114" t="s">
        <v>9</v>
      </c>
      <c r="C114" s="6">
        <v>485</v>
      </c>
      <c r="D114" s="6">
        <v>448</v>
      </c>
      <c r="E114" s="6">
        <v>434883</v>
      </c>
      <c r="F114">
        <v>8.5500000000000007</v>
      </c>
      <c r="G114" s="6">
        <v>33258</v>
      </c>
    </row>
    <row r="115" spans="1:7" x14ac:dyDescent="0.3">
      <c r="A115" s="3">
        <v>45523</v>
      </c>
      <c r="B115" t="s">
        <v>9</v>
      </c>
      <c r="C115" s="6">
        <v>1751</v>
      </c>
      <c r="D115" s="6">
        <v>86</v>
      </c>
      <c r="E115" s="6">
        <v>188655</v>
      </c>
      <c r="F115">
        <v>7.24</v>
      </c>
      <c r="G115" s="6">
        <v>22206</v>
      </c>
    </row>
    <row r="116" spans="1:7" x14ac:dyDescent="0.3">
      <c r="A116" s="3">
        <v>45530</v>
      </c>
      <c r="B116" t="s">
        <v>9</v>
      </c>
      <c r="C116" s="6">
        <v>1300</v>
      </c>
      <c r="D116" s="6">
        <v>71</v>
      </c>
      <c r="E116" s="6">
        <v>186454</v>
      </c>
      <c r="F116">
        <v>3.91</v>
      </c>
      <c r="G116" s="6">
        <v>9942</v>
      </c>
    </row>
    <row r="117" spans="1:7" x14ac:dyDescent="0.3">
      <c r="A117" s="3">
        <v>45537</v>
      </c>
      <c r="B117" t="s">
        <v>9</v>
      </c>
      <c r="C117" s="6">
        <v>557</v>
      </c>
      <c r="D117" s="6">
        <v>360</v>
      </c>
      <c r="E117" s="6">
        <v>318779</v>
      </c>
      <c r="F117">
        <v>8.02</v>
      </c>
      <c r="G117" s="6">
        <v>25797</v>
      </c>
    </row>
    <row r="118" spans="1:7" x14ac:dyDescent="0.3">
      <c r="A118" s="3">
        <v>45544</v>
      </c>
      <c r="B118" t="s">
        <v>9</v>
      </c>
      <c r="C118" s="6">
        <v>751</v>
      </c>
      <c r="D118" s="6">
        <v>491</v>
      </c>
      <c r="E118" s="6">
        <v>434047</v>
      </c>
      <c r="F118">
        <v>9.24</v>
      </c>
      <c r="G118" s="6">
        <v>15476</v>
      </c>
    </row>
    <row r="119" spans="1:7" x14ac:dyDescent="0.3">
      <c r="A119" s="3">
        <v>45551</v>
      </c>
      <c r="B119" t="s">
        <v>9</v>
      </c>
      <c r="C119" s="6">
        <v>1472</v>
      </c>
      <c r="D119" s="6">
        <v>347</v>
      </c>
      <c r="E119" s="6">
        <v>392355</v>
      </c>
      <c r="F119">
        <v>8.59</v>
      </c>
      <c r="G119" s="6">
        <v>30270</v>
      </c>
    </row>
    <row r="120" spans="1:7" x14ac:dyDescent="0.3">
      <c r="A120" s="3">
        <v>45558</v>
      </c>
      <c r="B120" t="s">
        <v>9</v>
      </c>
      <c r="C120" s="6">
        <v>1911</v>
      </c>
      <c r="D120" s="6">
        <v>231</v>
      </c>
      <c r="E120" s="6">
        <v>268516</v>
      </c>
      <c r="F120">
        <v>8.5500000000000007</v>
      </c>
      <c r="G120" s="6">
        <v>24018</v>
      </c>
    </row>
    <row r="121" spans="1:7" x14ac:dyDescent="0.3">
      <c r="A121" s="3">
        <v>45565</v>
      </c>
      <c r="B121" t="s">
        <v>9</v>
      </c>
      <c r="C121" s="6">
        <v>752</v>
      </c>
      <c r="D121" s="6">
        <v>153</v>
      </c>
      <c r="E121" s="6">
        <v>64906</v>
      </c>
      <c r="F121">
        <v>2.09</v>
      </c>
      <c r="G121" s="6">
        <v>12148</v>
      </c>
    </row>
    <row r="122" spans="1:7" x14ac:dyDescent="0.3">
      <c r="A122" s="3">
        <v>45572</v>
      </c>
      <c r="B122" t="s">
        <v>9</v>
      </c>
      <c r="C122" s="6">
        <v>437</v>
      </c>
      <c r="D122" s="6">
        <v>330</v>
      </c>
      <c r="E122" s="6">
        <v>476486</v>
      </c>
      <c r="F122">
        <v>4.97</v>
      </c>
      <c r="G122" s="6">
        <v>4509</v>
      </c>
    </row>
    <row r="123" spans="1:7" x14ac:dyDescent="0.3">
      <c r="A123" s="3">
        <v>45579</v>
      </c>
      <c r="B123" t="s">
        <v>9</v>
      </c>
      <c r="C123" s="6">
        <v>201</v>
      </c>
      <c r="D123" s="6">
        <v>221</v>
      </c>
      <c r="E123" s="6">
        <v>309772</v>
      </c>
      <c r="F123">
        <v>5.9</v>
      </c>
      <c r="G123" s="6">
        <v>33174</v>
      </c>
    </row>
    <row r="124" spans="1:7" x14ac:dyDescent="0.3">
      <c r="A124" s="3">
        <v>45586</v>
      </c>
      <c r="B124" t="s">
        <v>9</v>
      </c>
      <c r="C124" s="6">
        <v>697</v>
      </c>
      <c r="D124" s="6">
        <v>61</v>
      </c>
      <c r="E124" s="6">
        <v>258287</v>
      </c>
      <c r="F124">
        <v>8.25</v>
      </c>
      <c r="G124" s="6">
        <v>21208</v>
      </c>
    </row>
    <row r="125" spans="1:7" x14ac:dyDescent="0.3">
      <c r="A125" s="3">
        <v>45593</v>
      </c>
      <c r="B125" t="s">
        <v>9</v>
      </c>
      <c r="C125" s="6">
        <v>191</v>
      </c>
      <c r="D125" s="6">
        <v>154</v>
      </c>
      <c r="E125" s="6">
        <v>240550</v>
      </c>
      <c r="F125">
        <v>5.22</v>
      </c>
      <c r="G125" s="6">
        <v>15827</v>
      </c>
    </row>
    <row r="126" spans="1:7" x14ac:dyDescent="0.3">
      <c r="A126" s="3">
        <v>45600</v>
      </c>
      <c r="B126" t="s">
        <v>9</v>
      </c>
      <c r="C126" s="6">
        <v>1821</v>
      </c>
      <c r="D126" s="6">
        <v>218</v>
      </c>
      <c r="E126" s="6">
        <v>439080</v>
      </c>
      <c r="F126">
        <v>5.68</v>
      </c>
      <c r="G126" s="6">
        <v>36095</v>
      </c>
    </row>
    <row r="127" spans="1:7" x14ac:dyDescent="0.3">
      <c r="A127" s="3">
        <v>45607</v>
      </c>
      <c r="B127" t="s">
        <v>9</v>
      </c>
      <c r="C127" s="6">
        <v>1487</v>
      </c>
      <c r="D127" s="6">
        <v>337</v>
      </c>
      <c r="E127" s="6">
        <v>87305</v>
      </c>
      <c r="F127">
        <v>2.46</v>
      </c>
      <c r="G127" s="6">
        <v>30428</v>
      </c>
    </row>
    <row r="128" spans="1:7" x14ac:dyDescent="0.3">
      <c r="A128" s="3">
        <v>45614</v>
      </c>
      <c r="B128" t="s">
        <v>9</v>
      </c>
      <c r="C128" s="6">
        <v>628</v>
      </c>
      <c r="D128" s="6">
        <v>183</v>
      </c>
      <c r="E128" s="6">
        <v>487523</v>
      </c>
      <c r="F128">
        <v>7.32</v>
      </c>
      <c r="G128" s="6">
        <v>5391</v>
      </c>
    </row>
    <row r="129" spans="1:7" x14ac:dyDescent="0.3">
      <c r="A129" s="3">
        <v>45621</v>
      </c>
      <c r="B129" t="s">
        <v>9</v>
      </c>
      <c r="C129" s="6">
        <v>330</v>
      </c>
      <c r="D129" s="6">
        <v>232</v>
      </c>
      <c r="E129" s="6">
        <v>88455</v>
      </c>
      <c r="F129">
        <v>2.69</v>
      </c>
      <c r="G129" s="6">
        <v>39530</v>
      </c>
    </row>
    <row r="130" spans="1:7" x14ac:dyDescent="0.3">
      <c r="A130" s="3">
        <v>45628</v>
      </c>
      <c r="B130" t="s">
        <v>9</v>
      </c>
      <c r="C130" s="6">
        <v>1441</v>
      </c>
      <c r="D130" s="6">
        <v>268</v>
      </c>
      <c r="E130" s="6">
        <v>309904</v>
      </c>
      <c r="F130">
        <v>6.37</v>
      </c>
      <c r="G130" s="6">
        <v>3455</v>
      </c>
    </row>
    <row r="131" spans="1:7" x14ac:dyDescent="0.3">
      <c r="A131" s="3">
        <v>45635</v>
      </c>
      <c r="B131" t="s">
        <v>9</v>
      </c>
      <c r="C131" s="6">
        <v>1937</v>
      </c>
      <c r="D131" s="6">
        <v>210</v>
      </c>
      <c r="E131" s="6">
        <v>20607</v>
      </c>
      <c r="F131">
        <v>4.2</v>
      </c>
      <c r="G131" s="6">
        <v>20861</v>
      </c>
    </row>
    <row r="132" spans="1:7" x14ac:dyDescent="0.3">
      <c r="A132" s="3">
        <v>45642</v>
      </c>
      <c r="B132" t="s">
        <v>9</v>
      </c>
      <c r="C132" s="6">
        <v>1592</v>
      </c>
      <c r="D132" s="6">
        <v>233</v>
      </c>
      <c r="E132" s="6">
        <v>327183</v>
      </c>
      <c r="F132">
        <v>6.66</v>
      </c>
      <c r="G132" s="6">
        <v>13316</v>
      </c>
    </row>
    <row r="133" spans="1:7" x14ac:dyDescent="0.3">
      <c r="A133" s="3">
        <v>45649</v>
      </c>
      <c r="B133" t="s">
        <v>9</v>
      </c>
      <c r="C133" s="6">
        <v>1137</v>
      </c>
      <c r="D133" s="6">
        <v>226</v>
      </c>
      <c r="E133" s="6">
        <v>81119</v>
      </c>
      <c r="F133">
        <v>7.74</v>
      </c>
      <c r="G133" s="6">
        <v>35359</v>
      </c>
    </row>
    <row r="134" spans="1:7" x14ac:dyDescent="0.3">
      <c r="A134" s="3">
        <v>45656</v>
      </c>
      <c r="B134" t="s">
        <v>9</v>
      </c>
      <c r="C134" s="6">
        <v>1786</v>
      </c>
      <c r="D134" s="6">
        <v>257</v>
      </c>
      <c r="E134" s="6">
        <v>274831</v>
      </c>
      <c r="F134">
        <v>4.68</v>
      </c>
      <c r="G134" s="6">
        <v>9118</v>
      </c>
    </row>
    <row r="135" spans="1:7" x14ac:dyDescent="0.3">
      <c r="A135" s="3">
        <v>45663</v>
      </c>
      <c r="B135" t="s">
        <v>9</v>
      </c>
      <c r="C135" s="6">
        <v>1633</v>
      </c>
      <c r="D135" s="6">
        <v>445</v>
      </c>
      <c r="E135" s="6">
        <v>371156</v>
      </c>
      <c r="F135">
        <v>2.2200000000000002</v>
      </c>
      <c r="G135" s="6">
        <v>2798</v>
      </c>
    </row>
    <row r="136" spans="1:7" x14ac:dyDescent="0.3">
      <c r="A136" s="3">
        <v>45670</v>
      </c>
      <c r="B136" t="s">
        <v>9</v>
      </c>
      <c r="C136" s="6">
        <v>118</v>
      </c>
      <c r="D136" s="6">
        <v>262</v>
      </c>
      <c r="E136" s="6">
        <v>487896</v>
      </c>
      <c r="F136">
        <v>2.56</v>
      </c>
      <c r="G136" s="6">
        <v>12350</v>
      </c>
    </row>
    <row r="137" spans="1:7" x14ac:dyDescent="0.3">
      <c r="A137" s="3">
        <v>45677</v>
      </c>
      <c r="B137" t="s">
        <v>9</v>
      </c>
      <c r="C137" s="6">
        <v>1040</v>
      </c>
      <c r="D137" s="6">
        <v>149</v>
      </c>
      <c r="E137" s="6">
        <v>124404</v>
      </c>
      <c r="F137">
        <v>5.23</v>
      </c>
      <c r="G137" s="6">
        <v>45380</v>
      </c>
    </row>
    <row r="138" spans="1:7" x14ac:dyDescent="0.3">
      <c r="A138" s="3">
        <v>45684</v>
      </c>
      <c r="B138" t="s">
        <v>9</v>
      </c>
      <c r="C138" s="6">
        <v>1501</v>
      </c>
      <c r="D138" s="6">
        <v>75</v>
      </c>
      <c r="E138" s="6">
        <v>262569</v>
      </c>
      <c r="F138">
        <v>2.0099999999999998</v>
      </c>
      <c r="G138" s="6">
        <v>19119</v>
      </c>
    </row>
    <row r="139" spans="1:7" x14ac:dyDescent="0.3">
      <c r="A139" s="3">
        <v>45691</v>
      </c>
      <c r="B139" t="s">
        <v>9</v>
      </c>
      <c r="C139" s="6">
        <v>927</v>
      </c>
      <c r="D139" s="6">
        <v>358</v>
      </c>
      <c r="E139" s="6">
        <v>177554</v>
      </c>
      <c r="F139">
        <v>6.95</v>
      </c>
      <c r="G139" s="6">
        <v>48270</v>
      </c>
    </row>
    <row r="140" spans="1:7" x14ac:dyDescent="0.3">
      <c r="A140" s="3">
        <v>45698</v>
      </c>
      <c r="B140" t="s">
        <v>9</v>
      </c>
      <c r="C140" s="6">
        <v>1587</v>
      </c>
      <c r="D140" s="6">
        <v>385</v>
      </c>
      <c r="E140" s="6">
        <v>126582</v>
      </c>
      <c r="F140">
        <v>6.99</v>
      </c>
      <c r="G140" s="6">
        <v>42832</v>
      </c>
    </row>
    <row r="141" spans="1:7" x14ac:dyDescent="0.3">
      <c r="A141" s="3">
        <v>45705</v>
      </c>
      <c r="B141" t="s">
        <v>9</v>
      </c>
      <c r="C141" s="6">
        <v>362</v>
      </c>
      <c r="D141" s="6">
        <v>399</v>
      </c>
      <c r="E141" s="6">
        <v>145608</v>
      </c>
      <c r="F141">
        <v>7.3</v>
      </c>
      <c r="G141" s="6">
        <v>37636</v>
      </c>
    </row>
    <row r="142" spans="1:7" x14ac:dyDescent="0.3">
      <c r="A142" s="3">
        <v>45712</v>
      </c>
      <c r="B142" t="s">
        <v>9</v>
      </c>
      <c r="C142" s="6">
        <v>861</v>
      </c>
      <c r="D142" s="6">
        <v>153</v>
      </c>
      <c r="E142" s="6">
        <v>317007</v>
      </c>
      <c r="F142">
        <v>3.85</v>
      </c>
      <c r="G142" s="6">
        <v>8718</v>
      </c>
    </row>
    <row r="143" spans="1:7" x14ac:dyDescent="0.3">
      <c r="A143" s="3">
        <v>45719</v>
      </c>
      <c r="B143" t="s">
        <v>9</v>
      </c>
      <c r="C143" s="6">
        <v>946</v>
      </c>
      <c r="D143" s="6">
        <v>47</v>
      </c>
      <c r="E143" s="6">
        <v>466575</v>
      </c>
      <c r="F143">
        <v>8.33</v>
      </c>
      <c r="G143" s="6">
        <v>10002</v>
      </c>
    </row>
    <row r="144" spans="1:7" x14ac:dyDescent="0.3">
      <c r="A144" s="3">
        <v>45726</v>
      </c>
      <c r="B144" t="s">
        <v>9</v>
      </c>
      <c r="C144" s="6">
        <v>1399</v>
      </c>
      <c r="D144" s="6">
        <v>49</v>
      </c>
      <c r="E144" s="6">
        <v>12471</v>
      </c>
      <c r="F144">
        <v>5.12</v>
      </c>
      <c r="G144" s="6">
        <v>14722</v>
      </c>
    </row>
    <row r="145" spans="1:7" x14ac:dyDescent="0.3">
      <c r="A145" s="3">
        <v>45733</v>
      </c>
      <c r="B145" t="s">
        <v>9</v>
      </c>
      <c r="C145" s="6">
        <v>1077</v>
      </c>
      <c r="D145" s="6">
        <v>216</v>
      </c>
      <c r="E145" s="6">
        <v>12447</v>
      </c>
      <c r="F145">
        <v>1.8</v>
      </c>
      <c r="G145" s="6">
        <v>14068</v>
      </c>
    </row>
    <row r="146" spans="1:7" x14ac:dyDescent="0.3">
      <c r="A146" s="3">
        <v>45740</v>
      </c>
      <c r="B146" t="s">
        <v>9</v>
      </c>
      <c r="C146" s="6">
        <v>364</v>
      </c>
      <c r="D146" s="6">
        <v>72</v>
      </c>
      <c r="E146" s="6">
        <v>211090</v>
      </c>
      <c r="F146">
        <v>5.53</v>
      </c>
      <c r="G146" s="6">
        <v>21061</v>
      </c>
    </row>
    <row r="147" spans="1:7" x14ac:dyDescent="0.3">
      <c r="A147" s="3">
        <v>45747</v>
      </c>
      <c r="B147" t="s">
        <v>9</v>
      </c>
      <c r="C147" s="6">
        <v>1946</v>
      </c>
      <c r="D147" s="6">
        <v>270</v>
      </c>
      <c r="E147" s="6">
        <v>198350</v>
      </c>
      <c r="F147">
        <v>7.5</v>
      </c>
      <c r="G147" s="6">
        <v>11805</v>
      </c>
    </row>
    <row r="148" spans="1:7" x14ac:dyDescent="0.3">
      <c r="A148" s="3">
        <v>45754</v>
      </c>
      <c r="B148" t="s">
        <v>9</v>
      </c>
      <c r="C148" s="6">
        <v>1432</v>
      </c>
      <c r="D148" s="6">
        <v>425</v>
      </c>
      <c r="E148" s="6">
        <v>29589</v>
      </c>
      <c r="F148">
        <v>4.5</v>
      </c>
      <c r="G148" s="6">
        <v>42964</v>
      </c>
    </row>
    <row r="149" spans="1:7" x14ac:dyDescent="0.3">
      <c r="A149" s="3">
        <v>45761</v>
      </c>
      <c r="B149" t="s">
        <v>9</v>
      </c>
      <c r="C149" s="6">
        <v>353</v>
      </c>
      <c r="D149" s="6">
        <v>300</v>
      </c>
      <c r="E149" s="6">
        <v>142507</v>
      </c>
      <c r="F149">
        <v>5.3</v>
      </c>
      <c r="G149" s="6">
        <v>11035</v>
      </c>
    </row>
    <row r="150" spans="1:7" x14ac:dyDescent="0.3">
      <c r="A150" s="3">
        <v>45768</v>
      </c>
      <c r="B150" t="s">
        <v>9</v>
      </c>
      <c r="C150" s="6">
        <v>1147</v>
      </c>
      <c r="D150" s="6">
        <v>388</v>
      </c>
      <c r="E150" s="6">
        <v>333851</v>
      </c>
      <c r="F150">
        <v>2.44</v>
      </c>
      <c r="G150" s="6">
        <v>8471</v>
      </c>
    </row>
    <row r="151" spans="1:7" x14ac:dyDescent="0.3">
      <c r="A151" s="3">
        <v>45775</v>
      </c>
      <c r="B151" t="s">
        <v>9</v>
      </c>
      <c r="C151" s="6">
        <v>1222</v>
      </c>
      <c r="D151" s="6">
        <v>274</v>
      </c>
      <c r="E151" s="6">
        <v>487289</v>
      </c>
      <c r="F151">
        <v>3.16</v>
      </c>
      <c r="G151" s="6">
        <v>32500</v>
      </c>
    </row>
    <row r="152" spans="1:7" x14ac:dyDescent="0.3">
      <c r="A152" s="3">
        <v>45782</v>
      </c>
      <c r="B152" t="s">
        <v>9</v>
      </c>
      <c r="C152" s="6">
        <v>1581</v>
      </c>
      <c r="D152" s="6">
        <v>71</v>
      </c>
      <c r="E152" s="6">
        <v>484364</v>
      </c>
      <c r="F152">
        <v>3.55</v>
      </c>
      <c r="G152" s="6">
        <v>16149</v>
      </c>
    </row>
    <row r="153" spans="1:7" x14ac:dyDescent="0.3">
      <c r="A153" s="3">
        <v>45789</v>
      </c>
      <c r="B153" t="s">
        <v>9</v>
      </c>
      <c r="C153" s="6">
        <v>337</v>
      </c>
      <c r="D153" s="6">
        <v>68</v>
      </c>
      <c r="E153" s="6">
        <v>456298</v>
      </c>
      <c r="F153">
        <v>7.57</v>
      </c>
      <c r="G153" s="6">
        <v>4007</v>
      </c>
    </row>
    <row r="154" spans="1:7" x14ac:dyDescent="0.3">
      <c r="A154" s="3">
        <v>45446</v>
      </c>
      <c r="B154" t="s">
        <v>10</v>
      </c>
      <c r="C154" s="6">
        <v>1535</v>
      </c>
      <c r="D154" s="6">
        <v>445</v>
      </c>
      <c r="E154" s="6">
        <v>395536</v>
      </c>
      <c r="F154">
        <v>4.1100000000000003</v>
      </c>
      <c r="G154" s="6">
        <v>30671</v>
      </c>
    </row>
    <row r="155" spans="1:7" x14ac:dyDescent="0.3">
      <c r="A155" s="3">
        <v>45453</v>
      </c>
      <c r="B155" t="s">
        <v>10</v>
      </c>
      <c r="C155" s="6">
        <v>1197</v>
      </c>
      <c r="D155" s="6">
        <v>203</v>
      </c>
      <c r="E155" s="6">
        <v>413878</v>
      </c>
      <c r="F155">
        <v>3.16</v>
      </c>
      <c r="G155" s="6">
        <v>21205</v>
      </c>
    </row>
    <row r="156" spans="1:7" x14ac:dyDescent="0.3">
      <c r="A156" s="3">
        <v>45460</v>
      </c>
      <c r="B156" t="s">
        <v>10</v>
      </c>
      <c r="C156" s="6">
        <v>403</v>
      </c>
      <c r="D156" s="6">
        <v>66</v>
      </c>
      <c r="E156" s="6">
        <v>382851</v>
      </c>
      <c r="F156">
        <v>3.49</v>
      </c>
      <c r="G156" s="6">
        <v>24313</v>
      </c>
    </row>
    <row r="157" spans="1:7" x14ac:dyDescent="0.3">
      <c r="A157" s="3">
        <v>45467</v>
      </c>
      <c r="B157" t="s">
        <v>10</v>
      </c>
      <c r="C157" s="6">
        <v>308</v>
      </c>
      <c r="D157" s="6">
        <v>431</v>
      </c>
      <c r="E157" s="6">
        <v>426184</v>
      </c>
      <c r="F157">
        <v>2.62</v>
      </c>
      <c r="G157" s="6">
        <v>1783</v>
      </c>
    </row>
    <row r="158" spans="1:7" x14ac:dyDescent="0.3">
      <c r="A158" s="3">
        <v>45474</v>
      </c>
      <c r="B158" t="s">
        <v>10</v>
      </c>
      <c r="C158" s="6">
        <v>144</v>
      </c>
      <c r="D158" s="6">
        <v>53</v>
      </c>
      <c r="E158" s="6">
        <v>113678</v>
      </c>
      <c r="F158">
        <v>8.7200000000000006</v>
      </c>
      <c r="G158" s="6">
        <v>30060</v>
      </c>
    </row>
    <row r="159" spans="1:7" x14ac:dyDescent="0.3">
      <c r="A159" s="3">
        <v>45481</v>
      </c>
      <c r="B159" t="s">
        <v>10</v>
      </c>
      <c r="C159" s="6">
        <v>883</v>
      </c>
      <c r="D159" s="6">
        <v>369</v>
      </c>
      <c r="E159" s="6">
        <v>233694</v>
      </c>
      <c r="F159">
        <v>2.88</v>
      </c>
      <c r="G159" s="6">
        <v>15071</v>
      </c>
    </row>
    <row r="160" spans="1:7" x14ac:dyDescent="0.3">
      <c r="A160" s="3">
        <v>45488</v>
      </c>
      <c r="B160" t="s">
        <v>10</v>
      </c>
      <c r="C160" s="6">
        <v>224</v>
      </c>
      <c r="D160" s="6">
        <v>64</v>
      </c>
      <c r="E160" s="6">
        <v>156683</v>
      </c>
      <c r="F160">
        <v>4.5599999999999996</v>
      </c>
      <c r="G160" s="6">
        <v>28474</v>
      </c>
    </row>
    <row r="161" spans="1:7" x14ac:dyDescent="0.3">
      <c r="A161" s="3">
        <v>45495</v>
      </c>
      <c r="B161" t="s">
        <v>10</v>
      </c>
      <c r="C161" s="6">
        <v>804</v>
      </c>
      <c r="D161" s="6">
        <v>487</v>
      </c>
      <c r="E161" s="6">
        <v>306564</v>
      </c>
      <c r="F161">
        <v>5.52</v>
      </c>
      <c r="G161" s="6">
        <v>26452</v>
      </c>
    </row>
    <row r="162" spans="1:7" x14ac:dyDescent="0.3">
      <c r="A162" s="3">
        <v>45502</v>
      </c>
      <c r="B162" t="s">
        <v>10</v>
      </c>
      <c r="C162" s="6">
        <v>576</v>
      </c>
      <c r="D162" s="6">
        <v>101</v>
      </c>
      <c r="E162" s="6">
        <v>62499</v>
      </c>
      <c r="F162">
        <v>3.48</v>
      </c>
      <c r="G162" s="6">
        <v>16804</v>
      </c>
    </row>
    <row r="163" spans="1:7" x14ac:dyDescent="0.3">
      <c r="A163" s="3">
        <v>45509</v>
      </c>
      <c r="B163" t="s">
        <v>10</v>
      </c>
      <c r="C163" s="6">
        <v>460</v>
      </c>
      <c r="D163" s="6">
        <v>141</v>
      </c>
      <c r="E163" s="6">
        <v>320650</v>
      </c>
      <c r="F163">
        <v>4.04</v>
      </c>
      <c r="G163" s="6">
        <v>49372</v>
      </c>
    </row>
    <row r="164" spans="1:7" x14ac:dyDescent="0.3">
      <c r="A164" s="3">
        <v>45516</v>
      </c>
      <c r="B164" t="s">
        <v>10</v>
      </c>
      <c r="C164" s="6">
        <v>1210</v>
      </c>
      <c r="D164" s="6">
        <v>178</v>
      </c>
      <c r="E164" s="6">
        <v>102042</v>
      </c>
      <c r="F164">
        <v>5.42</v>
      </c>
      <c r="G164" s="6">
        <v>6915</v>
      </c>
    </row>
    <row r="165" spans="1:7" x14ac:dyDescent="0.3">
      <c r="A165" s="3">
        <v>45523</v>
      </c>
      <c r="B165" t="s">
        <v>10</v>
      </c>
      <c r="C165" s="6">
        <v>221</v>
      </c>
      <c r="D165" s="6">
        <v>31</v>
      </c>
      <c r="E165" s="6">
        <v>87443</v>
      </c>
      <c r="F165">
        <v>6.19</v>
      </c>
      <c r="G165" s="6">
        <v>10283</v>
      </c>
    </row>
    <row r="166" spans="1:7" x14ac:dyDescent="0.3">
      <c r="A166" s="3">
        <v>45530</v>
      </c>
      <c r="B166" t="s">
        <v>10</v>
      </c>
      <c r="C166" s="6">
        <v>422</v>
      </c>
      <c r="D166" s="6">
        <v>394</v>
      </c>
      <c r="E166" s="6">
        <v>239044</v>
      </c>
      <c r="F166">
        <v>7.83</v>
      </c>
      <c r="G166" s="6">
        <v>32929</v>
      </c>
    </row>
    <row r="167" spans="1:7" x14ac:dyDescent="0.3">
      <c r="A167" s="3">
        <v>45537</v>
      </c>
      <c r="B167" t="s">
        <v>10</v>
      </c>
      <c r="C167" s="6">
        <v>728</v>
      </c>
      <c r="D167" s="6">
        <v>395</v>
      </c>
      <c r="E167" s="6">
        <v>370971</v>
      </c>
      <c r="F167">
        <v>3.86</v>
      </c>
      <c r="G167" s="6">
        <v>12646</v>
      </c>
    </row>
    <row r="168" spans="1:7" x14ac:dyDescent="0.3">
      <c r="A168" s="3">
        <v>45544</v>
      </c>
      <c r="B168" t="s">
        <v>10</v>
      </c>
      <c r="C168" s="6">
        <v>1409</v>
      </c>
      <c r="D168" s="6">
        <v>309</v>
      </c>
      <c r="E168" s="6">
        <v>64583</v>
      </c>
      <c r="F168">
        <v>8.99</v>
      </c>
      <c r="G168" s="6">
        <v>10217</v>
      </c>
    </row>
    <row r="169" spans="1:7" x14ac:dyDescent="0.3">
      <c r="A169" s="3">
        <v>45551</v>
      </c>
      <c r="B169" t="s">
        <v>10</v>
      </c>
      <c r="C169" s="6">
        <v>123</v>
      </c>
      <c r="D169" s="6">
        <v>155</v>
      </c>
      <c r="E169" s="6">
        <v>119934</v>
      </c>
      <c r="F169">
        <v>3.5</v>
      </c>
      <c r="G169" s="6">
        <v>5442</v>
      </c>
    </row>
    <row r="170" spans="1:7" x14ac:dyDescent="0.3">
      <c r="A170" s="3">
        <v>45558</v>
      </c>
      <c r="B170" t="s">
        <v>10</v>
      </c>
      <c r="C170" s="6">
        <v>1218</v>
      </c>
      <c r="D170" s="6">
        <v>212</v>
      </c>
      <c r="E170" s="6">
        <v>63177</v>
      </c>
      <c r="F170">
        <v>8.1300000000000008</v>
      </c>
      <c r="G170" s="6">
        <v>38883</v>
      </c>
    </row>
    <row r="171" spans="1:7" x14ac:dyDescent="0.3">
      <c r="A171" s="3">
        <v>45565</v>
      </c>
      <c r="B171" t="s">
        <v>10</v>
      </c>
      <c r="C171" s="6">
        <v>1918</v>
      </c>
      <c r="D171" s="6">
        <v>212</v>
      </c>
      <c r="E171" s="6">
        <v>94360</v>
      </c>
      <c r="F171">
        <v>7.36</v>
      </c>
      <c r="G171" s="6">
        <v>36851</v>
      </c>
    </row>
    <row r="172" spans="1:7" x14ac:dyDescent="0.3">
      <c r="A172" s="3">
        <v>45572</v>
      </c>
      <c r="B172" t="s">
        <v>10</v>
      </c>
      <c r="C172" s="6">
        <v>307</v>
      </c>
      <c r="D172" s="6">
        <v>189</v>
      </c>
      <c r="E172" s="6">
        <v>117767</v>
      </c>
      <c r="F172">
        <v>9.3000000000000007</v>
      </c>
      <c r="G172" s="6">
        <v>27822</v>
      </c>
    </row>
    <row r="173" spans="1:7" x14ac:dyDescent="0.3">
      <c r="A173" s="3">
        <v>45579</v>
      </c>
      <c r="B173" t="s">
        <v>10</v>
      </c>
      <c r="C173" s="6">
        <v>414</v>
      </c>
      <c r="D173" s="6">
        <v>47</v>
      </c>
      <c r="E173" s="6">
        <v>199178</v>
      </c>
      <c r="F173">
        <v>1.53</v>
      </c>
      <c r="G173" s="6">
        <v>6742</v>
      </c>
    </row>
    <row r="174" spans="1:7" x14ac:dyDescent="0.3">
      <c r="A174" s="3">
        <v>45586</v>
      </c>
      <c r="B174" t="s">
        <v>10</v>
      </c>
      <c r="C174" s="6">
        <v>1707</v>
      </c>
      <c r="D174" s="6">
        <v>223</v>
      </c>
      <c r="E174" s="6">
        <v>256910</v>
      </c>
      <c r="F174">
        <v>5.41</v>
      </c>
      <c r="G174" s="6">
        <v>44321</v>
      </c>
    </row>
    <row r="175" spans="1:7" x14ac:dyDescent="0.3">
      <c r="A175" s="3">
        <v>45593</v>
      </c>
      <c r="B175" t="s">
        <v>10</v>
      </c>
      <c r="C175" s="6">
        <v>1814</v>
      </c>
      <c r="D175" s="6">
        <v>157</v>
      </c>
      <c r="E175" s="6">
        <v>305827</v>
      </c>
      <c r="F175">
        <v>1.99</v>
      </c>
      <c r="G175" s="6">
        <v>46643</v>
      </c>
    </row>
    <row r="176" spans="1:7" x14ac:dyDescent="0.3">
      <c r="A176" s="3">
        <v>45600</v>
      </c>
      <c r="B176" t="s">
        <v>10</v>
      </c>
      <c r="C176" s="6">
        <v>1507</v>
      </c>
      <c r="D176" s="6">
        <v>463</v>
      </c>
      <c r="E176" s="6">
        <v>258944</v>
      </c>
      <c r="F176">
        <v>6.08</v>
      </c>
      <c r="G176" s="6">
        <v>16443</v>
      </c>
    </row>
    <row r="177" spans="1:7" x14ac:dyDescent="0.3">
      <c r="A177" s="3">
        <v>45607</v>
      </c>
      <c r="B177" t="s">
        <v>10</v>
      </c>
      <c r="C177" s="6">
        <v>454</v>
      </c>
      <c r="D177" s="6">
        <v>105</v>
      </c>
      <c r="E177" s="6">
        <v>121091</v>
      </c>
      <c r="F177">
        <v>7.97</v>
      </c>
      <c r="G177" s="6">
        <v>9269</v>
      </c>
    </row>
    <row r="178" spans="1:7" x14ac:dyDescent="0.3">
      <c r="A178" s="3">
        <v>45614</v>
      </c>
      <c r="B178" t="s">
        <v>10</v>
      </c>
      <c r="C178" s="6">
        <v>278</v>
      </c>
      <c r="D178" s="6">
        <v>218</v>
      </c>
      <c r="E178" s="6">
        <v>301695</v>
      </c>
      <c r="F178">
        <v>4.68</v>
      </c>
      <c r="G178" s="6">
        <v>22373</v>
      </c>
    </row>
    <row r="179" spans="1:7" x14ac:dyDescent="0.3">
      <c r="A179" s="3">
        <v>45621</v>
      </c>
      <c r="B179" t="s">
        <v>10</v>
      </c>
      <c r="C179" s="6">
        <v>1293</v>
      </c>
      <c r="D179" s="6">
        <v>408</v>
      </c>
      <c r="E179" s="6">
        <v>62535</v>
      </c>
      <c r="F179">
        <v>8.9</v>
      </c>
      <c r="G179" s="6">
        <v>37876</v>
      </c>
    </row>
    <row r="180" spans="1:7" x14ac:dyDescent="0.3">
      <c r="A180" s="3">
        <v>45628</v>
      </c>
      <c r="B180" t="s">
        <v>10</v>
      </c>
      <c r="C180" s="6">
        <v>452</v>
      </c>
      <c r="D180" s="6">
        <v>161</v>
      </c>
      <c r="E180" s="6">
        <v>221274</v>
      </c>
      <c r="F180">
        <v>2.65</v>
      </c>
      <c r="G180" s="6">
        <v>40888</v>
      </c>
    </row>
    <row r="181" spans="1:7" x14ac:dyDescent="0.3">
      <c r="A181" s="3">
        <v>45635</v>
      </c>
      <c r="B181" t="s">
        <v>10</v>
      </c>
      <c r="C181" s="6">
        <v>736</v>
      </c>
      <c r="D181" s="6">
        <v>163</v>
      </c>
      <c r="E181" s="6">
        <v>451894</v>
      </c>
      <c r="F181">
        <v>5.43</v>
      </c>
      <c r="G181" s="6">
        <v>46625</v>
      </c>
    </row>
    <row r="182" spans="1:7" x14ac:dyDescent="0.3">
      <c r="A182" s="3">
        <v>45642</v>
      </c>
      <c r="B182" t="s">
        <v>10</v>
      </c>
      <c r="C182" s="6">
        <v>1004</v>
      </c>
      <c r="D182" s="6">
        <v>128</v>
      </c>
      <c r="E182" s="6">
        <v>488901</v>
      </c>
      <c r="F182">
        <v>8.09</v>
      </c>
      <c r="G182" s="6">
        <v>49558</v>
      </c>
    </row>
    <row r="183" spans="1:7" x14ac:dyDescent="0.3">
      <c r="A183" s="3">
        <v>45649</v>
      </c>
      <c r="B183" t="s">
        <v>10</v>
      </c>
      <c r="C183" s="6">
        <v>1900</v>
      </c>
      <c r="D183" s="6">
        <v>311</v>
      </c>
      <c r="E183" s="6">
        <v>25177</v>
      </c>
      <c r="F183">
        <v>2.89</v>
      </c>
      <c r="G183" s="6">
        <v>14154</v>
      </c>
    </row>
    <row r="184" spans="1:7" x14ac:dyDescent="0.3">
      <c r="A184" s="3">
        <v>45656</v>
      </c>
      <c r="B184" t="s">
        <v>10</v>
      </c>
      <c r="C184" s="6">
        <v>1495</v>
      </c>
      <c r="D184" s="6">
        <v>35</v>
      </c>
      <c r="E184" s="6">
        <v>136845</v>
      </c>
      <c r="F184">
        <v>4.4800000000000004</v>
      </c>
      <c r="G184" s="6">
        <v>39931</v>
      </c>
    </row>
    <row r="185" spans="1:7" x14ac:dyDescent="0.3">
      <c r="A185" s="3">
        <v>45663</v>
      </c>
      <c r="B185" t="s">
        <v>10</v>
      </c>
      <c r="C185" s="6">
        <v>891</v>
      </c>
      <c r="D185" s="6">
        <v>45</v>
      </c>
      <c r="E185" s="6">
        <v>95410</v>
      </c>
      <c r="F185">
        <v>8.33</v>
      </c>
      <c r="G185" s="6">
        <v>15045</v>
      </c>
    </row>
    <row r="186" spans="1:7" x14ac:dyDescent="0.3">
      <c r="A186" s="3">
        <v>45670</v>
      </c>
      <c r="B186" t="s">
        <v>10</v>
      </c>
      <c r="C186" s="6">
        <v>1331</v>
      </c>
      <c r="D186" s="6">
        <v>430</v>
      </c>
      <c r="E186" s="6">
        <v>14437</v>
      </c>
      <c r="F186">
        <v>3.29</v>
      </c>
      <c r="G186" s="6">
        <v>40868</v>
      </c>
    </row>
    <row r="187" spans="1:7" x14ac:dyDescent="0.3">
      <c r="A187" s="3">
        <v>45677</v>
      </c>
      <c r="B187" t="s">
        <v>10</v>
      </c>
      <c r="C187" s="6">
        <v>1166</v>
      </c>
      <c r="D187" s="6">
        <v>442</v>
      </c>
      <c r="E187" s="6">
        <v>336949</v>
      </c>
      <c r="F187">
        <v>4.68</v>
      </c>
      <c r="G187" s="6">
        <v>7705</v>
      </c>
    </row>
    <row r="188" spans="1:7" x14ac:dyDescent="0.3">
      <c r="A188" s="3">
        <v>45684</v>
      </c>
      <c r="B188" t="s">
        <v>10</v>
      </c>
      <c r="C188" s="6">
        <v>1411</v>
      </c>
      <c r="D188" s="6">
        <v>186</v>
      </c>
      <c r="E188" s="6">
        <v>461669</v>
      </c>
      <c r="F188">
        <v>3.72</v>
      </c>
      <c r="G188" s="6">
        <v>43999</v>
      </c>
    </row>
    <row r="189" spans="1:7" x14ac:dyDescent="0.3">
      <c r="A189" s="3">
        <v>45691</v>
      </c>
      <c r="B189" t="s">
        <v>10</v>
      </c>
      <c r="C189" s="6">
        <v>152</v>
      </c>
      <c r="D189" s="6">
        <v>355</v>
      </c>
      <c r="E189" s="6">
        <v>270766</v>
      </c>
      <c r="F189">
        <v>9.48</v>
      </c>
      <c r="G189" s="6">
        <v>18001</v>
      </c>
    </row>
    <row r="190" spans="1:7" x14ac:dyDescent="0.3">
      <c r="A190" s="3">
        <v>45698</v>
      </c>
      <c r="B190" t="s">
        <v>10</v>
      </c>
      <c r="C190" s="6">
        <v>1707</v>
      </c>
      <c r="D190" s="6">
        <v>263</v>
      </c>
      <c r="E190" s="6">
        <v>485280</v>
      </c>
      <c r="F190">
        <v>9.0299999999999994</v>
      </c>
      <c r="G190" s="6">
        <v>24494</v>
      </c>
    </row>
    <row r="191" spans="1:7" x14ac:dyDescent="0.3">
      <c r="A191" s="3">
        <v>45705</v>
      </c>
      <c r="B191" t="s">
        <v>10</v>
      </c>
      <c r="C191" s="6">
        <v>1662</v>
      </c>
      <c r="D191" s="6">
        <v>487</v>
      </c>
      <c r="E191" s="6">
        <v>105980</v>
      </c>
      <c r="F191">
        <v>9.08</v>
      </c>
      <c r="G191" s="6">
        <v>22996</v>
      </c>
    </row>
    <row r="192" spans="1:7" x14ac:dyDescent="0.3">
      <c r="A192" s="3">
        <v>45712</v>
      </c>
      <c r="B192" t="s">
        <v>10</v>
      </c>
      <c r="C192" s="6">
        <v>1063</v>
      </c>
      <c r="D192" s="6">
        <v>47</v>
      </c>
      <c r="E192" s="6">
        <v>464239</v>
      </c>
      <c r="F192">
        <v>6.58</v>
      </c>
      <c r="G192" s="6">
        <v>39031</v>
      </c>
    </row>
    <row r="193" spans="1:7" x14ac:dyDescent="0.3">
      <c r="A193" s="3">
        <v>45719</v>
      </c>
      <c r="B193" t="s">
        <v>10</v>
      </c>
      <c r="C193" s="6">
        <v>510</v>
      </c>
      <c r="D193" s="6">
        <v>195</v>
      </c>
      <c r="E193" s="6">
        <v>224534</v>
      </c>
      <c r="F193">
        <v>9.4</v>
      </c>
      <c r="G193" s="6">
        <v>30987</v>
      </c>
    </row>
    <row r="194" spans="1:7" x14ac:dyDescent="0.3">
      <c r="A194" s="3">
        <v>45726</v>
      </c>
      <c r="B194" t="s">
        <v>10</v>
      </c>
      <c r="C194" s="6">
        <v>1658</v>
      </c>
      <c r="D194" s="6">
        <v>416</v>
      </c>
      <c r="E194" s="6">
        <v>98397</v>
      </c>
      <c r="F194">
        <v>6.11</v>
      </c>
      <c r="G194" s="6">
        <v>11383</v>
      </c>
    </row>
    <row r="195" spans="1:7" x14ac:dyDescent="0.3">
      <c r="A195" s="3">
        <v>45733</v>
      </c>
      <c r="B195" t="s">
        <v>10</v>
      </c>
      <c r="C195" s="6">
        <v>1596</v>
      </c>
      <c r="D195" s="6">
        <v>211</v>
      </c>
      <c r="E195" s="6">
        <v>17380</v>
      </c>
      <c r="F195">
        <v>8.64</v>
      </c>
      <c r="G195" s="6">
        <v>35801</v>
      </c>
    </row>
    <row r="196" spans="1:7" x14ac:dyDescent="0.3">
      <c r="A196" s="3">
        <v>45740</v>
      </c>
      <c r="B196" t="s">
        <v>10</v>
      </c>
      <c r="C196" s="6">
        <v>442</v>
      </c>
      <c r="D196" s="6">
        <v>53</v>
      </c>
      <c r="E196" s="6">
        <v>441931</v>
      </c>
      <c r="F196">
        <v>1.87</v>
      </c>
      <c r="G196" s="6">
        <v>20059</v>
      </c>
    </row>
    <row r="197" spans="1:7" x14ac:dyDescent="0.3">
      <c r="A197" s="3">
        <v>45747</v>
      </c>
      <c r="B197" t="s">
        <v>10</v>
      </c>
      <c r="C197" s="6">
        <v>1957</v>
      </c>
      <c r="D197" s="6">
        <v>490</v>
      </c>
      <c r="E197" s="6">
        <v>435726</v>
      </c>
      <c r="F197">
        <v>4.7300000000000004</v>
      </c>
      <c r="G197" s="6">
        <v>15969</v>
      </c>
    </row>
    <row r="198" spans="1:7" x14ac:dyDescent="0.3">
      <c r="A198" s="3">
        <v>45754</v>
      </c>
      <c r="B198" t="s">
        <v>10</v>
      </c>
      <c r="C198" s="6">
        <v>623</v>
      </c>
      <c r="D198" s="6">
        <v>414</v>
      </c>
      <c r="E198" s="6">
        <v>290354</v>
      </c>
      <c r="F198">
        <v>6.49</v>
      </c>
      <c r="G198" s="6">
        <v>39923</v>
      </c>
    </row>
    <row r="199" spans="1:7" x14ac:dyDescent="0.3">
      <c r="A199" s="3">
        <v>45761</v>
      </c>
      <c r="B199" t="s">
        <v>10</v>
      </c>
      <c r="C199" s="6">
        <v>520</v>
      </c>
      <c r="D199" s="6">
        <v>375</v>
      </c>
      <c r="E199" s="6">
        <v>369525</v>
      </c>
      <c r="F199">
        <v>6.54</v>
      </c>
      <c r="G199" s="6">
        <v>20733</v>
      </c>
    </row>
    <row r="200" spans="1:7" x14ac:dyDescent="0.3">
      <c r="A200" s="3">
        <v>45768</v>
      </c>
      <c r="B200" t="s">
        <v>10</v>
      </c>
      <c r="C200" s="6">
        <v>1707</v>
      </c>
      <c r="D200" s="6">
        <v>74</v>
      </c>
      <c r="E200" s="6">
        <v>270958</v>
      </c>
      <c r="F200">
        <v>3.09</v>
      </c>
      <c r="G200" s="6">
        <v>14090</v>
      </c>
    </row>
    <row r="201" spans="1:7" x14ac:dyDescent="0.3">
      <c r="A201" s="3">
        <v>45775</v>
      </c>
      <c r="B201" t="s">
        <v>10</v>
      </c>
      <c r="C201" s="6">
        <v>777</v>
      </c>
      <c r="D201" s="6">
        <v>140</v>
      </c>
      <c r="E201" s="6">
        <v>11435</v>
      </c>
      <c r="F201">
        <v>1.6</v>
      </c>
      <c r="G201" s="6">
        <v>6832</v>
      </c>
    </row>
    <row r="202" spans="1:7" x14ac:dyDescent="0.3">
      <c r="A202" s="3">
        <v>45782</v>
      </c>
      <c r="B202" t="s">
        <v>10</v>
      </c>
      <c r="C202" s="6">
        <v>1035</v>
      </c>
      <c r="D202" s="6">
        <v>171</v>
      </c>
      <c r="E202" s="6">
        <v>148477</v>
      </c>
      <c r="F202">
        <v>5.21</v>
      </c>
      <c r="G202" s="6">
        <v>7541</v>
      </c>
    </row>
    <row r="203" spans="1:7" x14ac:dyDescent="0.3">
      <c r="A203" s="3">
        <v>45789</v>
      </c>
      <c r="B203" t="s">
        <v>10</v>
      </c>
      <c r="C203" s="6">
        <v>119</v>
      </c>
      <c r="D203" s="6">
        <v>456</v>
      </c>
      <c r="E203" s="6">
        <v>82558</v>
      </c>
      <c r="F203">
        <v>6.81</v>
      </c>
      <c r="G203" s="6">
        <v>12174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68F8-6EF0-4AF7-A9F6-B513F1EB54BF}">
  <dimension ref="A1:G5"/>
  <sheetViews>
    <sheetView workbookViewId="0">
      <selection activeCell="I7" sqref="I7"/>
    </sheetView>
  </sheetViews>
  <sheetFormatPr defaultRowHeight="14.4" x14ac:dyDescent="0.3"/>
  <cols>
    <col min="1" max="1" width="16.77734375" customWidth="1"/>
    <col min="2" max="2" width="20.21875" bestFit="1" customWidth="1"/>
    <col min="3" max="3" width="19" bestFit="1" customWidth="1"/>
    <col min="4" max="4" width="14.21875" bestFit="1" customWidth="1"/>
    <col min="5" max="5" width="13" bestFit="1" customWidth="1"/>
    <col min="6" max="6" width="15.109375" bestFit="1" customWidth="1"/>
    <col min="7" max="7" width="13.88671875" bestFit="1" customWidth="1"/>
  </cols>
  <sheetData>
    <row r="1" spans="1:7" x14ac:dyDescent="0.3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7" x14ac:dyDescent="0.3">
      <c r="A2" s="8" t="s">
        <v>23</v>
      </c>
      <c r="B2" s="9">
        <v>2266053</v>
      </c>
      <c r="C2" s="9">
        <v>2266053</v>
      </c>
      <c r="D2" s="9">
        <v>183346</v>
      </c>
      <c r="E2" s="9">
        <v>183346</v>
      </c>
      <c r="F2" s="9">
        <v>10032</v>
      </c>
      <c r="G2" s="9">
        <v>10032</v>
      </c>
    </row>
    <row r="3" spans="1:7" x14ac:dyDescent="0.3">
      <c r="A3" s="8" t="s">
        <v>24</v>
      </c>
      <c r="B3" s="9">
        <v>1986356</v>
      </c>
      <c r="C3" s="9">
        <v>1986356</v>
      </c>
      <c r="D3" s="9">
        <v>159783</v>
      </c>
      <c r="E3" s="9">
        <v>159783</v>
      </c>
      <c r="F3" s="9">
        <v>9872</v>
      </c>
      <c r="G3" s="9">
        <v>9872</v>
      </c>
    </row>
    <row r="4" spans="1:7" x14ac:dyDescent="0.3">
      <c r="A4" s="8" t="s">
        <v>25</v>
      </c>
      <c r="B4" s="9">
        <v>1846272</v>
      </c>
      <c r="C4" s="9">
        <v>1846272</v>
      </c>
      <c r="D4" s="9">
        <v>138793</v>
      </c>
      <c r="E4" s="9">
        <v>138793</v>
      </c>
      <c r="F4" s="9">
        <v>6434</v>
      </c>
      <c r="G4" s="9">
        <v>6434</v>
      </c>
    </row>
    <row r="5" spans="1:7" x14ac:dyDescent="0.3">
      <c r="A5" s="8" t="s">
        <v>26</v>
      </c>
      <c r="B5" s="9">
        <v>2464864</v>
      </c>
      <c r="C5" s="9">
        <v>2464864</v>
      </c>
      <c r="D5" s="9">
        <v>187909</v>
      </c>
      <c r="E5" s="9">
        <v>187909</v>
      </c>
      <c r="F5" s="9">
        <v>10689</v>
      </c>
      <c r="G5" s="9">
        <v>10689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7842-21A7-4496-AAD2-B643422826C4}">
  <dimension ref="A3:C8"/>
  <sheetViews>
    <sheetView workbookViewId="0">
      <selection activeCell="K24" sqref="K24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22" bestFit="1" customWidth="1"/>
  </cols>
  <sheetData>
    <row r="3" spans="1:3" x14ac:dyDescent="0.3">
      <c r="A3" s="5" t="s">
        <v>12</v>
      </c>
      <c r="B3" t="s">
        <v>13</v>
      </c>
      <c r="C3" t="s">
        <v>14</v>
      </c>
    </row>
    <row r="4" spans="1:3" x14ac:dyDescent="0.3">
      <c r="A4" s="4" t="s">
        <v>7</v>
      </c>
      <c r="B4" s="6">
        <v>1379539</v>
      </c>
      <c r="C4">
        <v>282.43</v>
      </c>
    </row>
    <row r="5" spans="1:3" x14ac:dyDescent="0.3">
      <c r="A5" s="4" t="s">
        <v>8</v>
      </c>
      <c r="B5" s="6">
        <v>1164373</v>
      </c>
      <c r="C5">
        <v>285.78000000000003</v>
      </c>
    </row>
    <row r="6" spans="1:3" x14ac:dyDescent="0.3">
      <c r="A6" s="4" t="s">
        <v>9</v>
      </c>
      <c r="B6" s="6">
        <v>1060357</v>
      </c>
      <c r="C6">
        <v>282.79000000000002</v>
      </c>
    </row>
    <row r="7" spans="1:3" x14ac:dyDescent="0.3">
      <c r="A7" s="4" t="s">
        <v>10</v>
      </c>
      <c r="B7" s="6">
        <v>1228647</v>
      </c>
      <c r="C7">
        <v>277.94</v>
      </c>
    </row>
    <row r="8" spans="1:3" x14ac:dyDescent="0.3">
      <c r="A8" s="4" t="s">
        <v>15</v>
      </c>
      <c r="B8" s="6">
        <v>4832916</v>
      </c>
      <c r="C8">
        <v>1128.94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0F74-5F11-4596-B393-3DABA701F29D}">
  <dimension ref="A1:K5"/>
  <sheetViews>
    <sheetView tabSelected="1" workbookViewId="0">
      <selection activeCell="H8" sqref="H8"/>
    </sheetView>
  </sheetViews>
  <sheetFormatPr defaultRowHeight="14.4" x14ac:dyDescent="0.3"/>
  <cols>
    <col min="1" max="1" width="20" bestFit="1" customWidth="1"/>
    <col min="2" max="2" width="15.33203125" customWidth="1"/>
    <col min="3" max="3" width="11" bestFit="1" customWidth="1"/>
    <col min="4" max="4" width="12.44140625" bestFit="1" customWidth="1"/>
    <col min="5" max="5" width="18.44140625" bestFit="1" customWidth="1"/>
    <col min="6" max="6" width="13.33203125" bestFit="1" customWidth="1"/>
    <col min="7" max="7" width="8.88671875" customWidth="1"/>
    <col min="8" max="8" width="19.33203125" customWidth="1"/>
    <col min="9" max="9" width="25.21875" bestFit="1" customWidth="1"/>
    <col min="10" max="10" width="24.5546875" customWidth="1"/>
    <col min="11" max="11" width="17.77734375" customWidth="1"/>
  </cols>
  <sheetData>
    <row r="1" spans="1:11" x14ac:dyDescent="0.3">
      <c r="A1" s="10" t="s">
        <v>27</v>
      </c>
      <c r="B1" s="11" t="s">
        <v>28</v>
      </c>
      <c r="C1" s="11" t="s">
        <v>29</v>
      </c>
      <c r="D1" s="12" t="s">
        <v>30</v>
      </c>
      <c r="E1" s="12" t="s">
        <v>31</v>
      </c>
      <c r="F1" s="12" t="s">
        <v>32</v>
      </c>
      <c r="G1" s="13" t="s">
        <v>33</v>
      </c>
      <c r="H1" t="s">
        <v>34</v>
      </c>
      <c r="I1" t="s">
        <v>35</v>
      </c>
      <c r="J1" t="s">
        <v>37</v>
      </c>
      <c r="K1" t="s">
        <v>36</v>
      </c>
    </row>
    <row r="2" spans="1:11" x14ac:dyDescent="0.3">
      <c r="A2" s="14" t="s">
        <v>23</v>
      </c>
      <c r="B2" s="11">
        <v>45651</v>
      </c>
      <c r="C2" s="3">
        <v>45667</v>
      </c>
      <c r="D2" s="6">
        <v>183346</v>
      </c>
      <c r="E2" s="6">
        <v>2266053</v>
      </c>
      <c r="F2" s="6">
        <v>10032</v>
      </c>
      <c r="G2" s="15">
        <v>0.32780229320000004</v>
      </c>
      <c r="H2" s="16">
        <f>(D2+F2)/E2</f>
        <v>8.5336927247509214E-2</v>
      </c>
      <c r="I2" s="16">
        <f>AVERAGE(H2:H5)</f>
        <v>8.2494567872302832E-2</v>
      </c>
      <c r="J2" s="16">
        <v>5.5899999999999998E-2</v>
      </c>
      <c r="K2" s="16">
        <f>I2-J2</f>
        <v>2.6594567872302834E-2</v>
      </c>
    </row>
    <row r="3" spans="1:11" x14ac:dyDescent="0.3">
      <c r="A3" s="17" t="s">
        <v>24</v>
      </c>
      <c r="B3" s="11">
        <v>45566</v>
      </c>
      <c r="C3" s="3">
        <v>45596</v>
      </c>
      <c r="D3" s="6">
        <v>159783</v>
      </c>
      <c r="E3" s="6">
        <v>1986356</v>
      </c>
      <c r="F3" s="6">
        <v>9872</v>
      </c>
      <c r="G3" s="15">
        <v>1.1121597400000001</v>
      </c>
      <c r="H3" s="16">
        <f t="shared" ref="H3:H5" si="0">(D3+F3)/E3</f>
        <v>8.5410168167236886E-2</v>
      </c>
      <c r="I3" s="16">
        <f t="shared" ref="I3:I5" si="1">AVERAGE(H3:H6)</f>
        <v>8.1547114747234042E-2</v>
      </c>
      <c r="J3" s="16">
        <v>5.5899999999999998E-2</v>
      </c>
      <c r="K3" s="16">
        <f t="shared" ref="K3:K5" si="2">I3-J3</f>
        <v>2.5647114747234044E-2</v>
      </c>
    </row>
    <row r="4" spans="1:11" x14ac:dyDescent="0.3">
      <c r="A4" s="14" t="s">
        <v>25</v>
      </c>
      <c r="B4" s="11">
        <v>45458</v>
      </c>
      <c r="C4" s="3">
        <v>45488</v>
      </c>
      <c r="D4" s="6">
        <v>138793</v>
      </c>
      <c r="E4" s="6">
        <v>1846272</v>
      </c>
      <c r="F4" s="6">
        <v>6434</v>
      </c>
      <c r="G4" s="15">
        <v>1.613481484</v>
      </c>
      <c r="H4" s="16">
        <f t="shared" si="0"/>
        <v>7.8659590786189684E-2</v>
      </c>
      <c r="I4" s="16">
        <f t="shared" si="1"/>
        <v>7.9615588037232621E-2</v>
      </c>
      <c r="J4" s="16">
        <v>5.5899999999999998E-2</v>
      </c>
      <c r="K4" s="16">
        <f t="shared" si="2"/>
        <v>2.3715588037232622E-2</v>
      </c>
    </row>
    <row r="5" spans="1:11" x14ac:dyDescent="0.3">
      <c r="A5" s="17" t="s">
        <v>26</v>
      </c>
      <c r="B5" s="11">
        <v>45717</v>
      </c>
      <c r="C5" s="3">
        <v>45747</v>
      </c>
      <c r="D5" s="6">
        <v>187909</v>
      </c>
      <c r="E5" s="6">
        <v>2464864</v>
      </c>
      <c r="F5" s="6">
        <v>10689</v>
      </c>
      <c r="G5" s="15">
        <v>2.038324513333333</v>
      </c>
      <c r="H5" s="16">
        <f t="shared" si="0"/>
        <v>8.0571585288275543E-2</v>
      </c>
      <c r="I5" s="16">
        <f t="shared" si="1"/>
        <v>8.0571585288275543E-2</v>
      </c>
      <c r="J5" s="16">
        <v>5.5899999999999998E-2</v>
      </c>
      <c r="K5" s="16">
        <f t="shared" si="2"/>
        <v>2.4671585288275545E-2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Engagement_vs_AdSpend</vt:lpstr>
      <vt:lpstr>Avg per campaign</vt:lpstr>
      <vt:lpstr>Pivot_Engagement_AdSpend</vt:lpstr>
      <vt:lpstr>Campaign Performance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uddin</dc:creator>
  <cp:lastModifiedBy>junaid uddin</cp:lastModifiedBy>
  <dcterms:created xsi:type="dcterms:W3CDTF">2025-09-08T06:19:06Z</dcterms:created>
  <dcterms:modified xsi:type="dcterms:W3CDTF">2025-09-09T12:08:17Z</dcterms:modified>
</cp:coreProperties>
</file>